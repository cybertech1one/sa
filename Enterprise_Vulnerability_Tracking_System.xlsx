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 DASHBOARD" sheetId="1" state="visible" r:id="rId3"/>
    <sheet name="VULNERABILITY REGISTER" sheetId="2" state="visible" r:id="rId4"/>
    <sheet name="RISK ASSESSMENT" sheetId="3" state="visible" r:id="rId5"/>
    <sheet name="REMEDIATION TRACKING" sheetId="4" state="visible" r:id="rId6"/>
    <sheet name="ASSET INVENTORY" sheetId="5" state="visible" r:id="rId7"/>
    <sheet name="SCAN HISTORY" sheetId="6" state="visible" r:id="rId8"/>
    <sheet name="LEGEND &amp; SETTING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<sst xmlns="http://schemas.openxmlformats.org/spreadsheetml/2006/main" count="282" uniqueCount="196">
  <si>
    <t xml:space="preserve">VULNERABILITY TRACKING EXECUTIVE SUMMARY</t>
  </si>
  <si>
    <t xml:space="preserve">Report Generated: 2025-11-14 16:22</t>
  </si>
  <si>
    <t xml:space="preserve">CRITICAL</t>
  </si>
  <si>
    <t xml:space="preserve">HIGH</t>
  </si>
  <si>
    <t xml:space="preserve">MEDIUM</t>
  </si>
  <si>
    <t xml:space="preserve">LOW</t>
  </si>
  <si>
    <t xml:space="preserve">Total Open Vulnerabilities</t>
  </si>
  <si>
    <t xml:space="preserve">RISK STATUS SUMMARY</t>
  </si>
  <si>
    <t xml:space="preserve">Open</t>
  </si>
  <si>
    <t xml:space="preserve">In Progress</t>
  </si>
  <si>
    <t xml:space="preserve">Resolved</t>
  </si>
  <si>
    <t xml:space="preserve">Deferred</t>
  </si>
  <si>
    <t xml:space="preserve">TOP VULNERABILITIES BY ASSET</t>
  </si>
  <si>
    <t xml:space="preserve">Asset</t>
  </si>
  <si>
    <t xml:space="preserve">Count</t>
  </si>
  <si>
    <t xml:space="preserve">Risk Level</t>
  </si>
  <si>
    <t xml:space="preserve">REMEDIATION TIMELINE</t>
  </si>
  <si>
    <t xml:space="preserve">Due Date</t>
  </si>
  <si>
    <t xml:space="preserve">Critical</t>
  </si>
  <si>
    <t xml:space="preserve">High</t>
  </si>
  <si>
    <t xml:space="preserve">Medium</t>
  </si>
  <si>
    <t xml:space="preserve">ID</t>
  </si>
  <si>
    <t xml:space="preserve">Date Found</t>
  </si>
  <si>
    <t xml:space="preserve">Affected Asset</t>
  </si>
  <si>
    <t xml:space="preserve">Vulnerability Title</t>
  </si>
  <si>
    <t xml:space="preserve">Type</t>
  </si>
  <si>
    <t xml:space="preserve">Severity</t>
  </si>
  <si>
    <t xml:space="preserve">CVSS Score</t>
  </si>
  <si>
    <t xml:space="preserve">Status</t>
  </si>
  <si>
    <t xml:space="preserve">Owner</t>
  </si>
  <si>
    <t xml:space="preserve">Description</t>
  </si>
  <si>
    <t xml:space="preserve">Remediation</t>
  </si>
  <si>
    <t xml:space="preserve">Target Date</t>
  </si>
  <si>
    <t xml:space="preserve">Notes</t>
  </si>
  <si>
    <t xml:space="preserve">V-001</t>
  </si>
  <si>
    <t xml:space="preserve">Web Server 01</t>
  </si>
  <si>
    <t xml:space="preserve">SQL Injection Vulnerability</t>
  </si>
  <si>
    <t xml:space="preserve">Code</t>
  </si>
  <si>
    <t xml:space="preserve">CVSS:3.1/AV:N/AC:L/PR:N/UI:N/S:U/C:H/I:H/A:H</t>
  </si>
  <si>
    <t xml:space="preserve">John Smith</t>
  </si>
  <si>
    <t xml:space="preserve">SQL injection in login form</t>
  </si>
  <si>
    <t xml:space="preserve">Implement parameterized queries</t>
  </si>
  <si>
    <t xml:space="preserve">High priority - external facing</t>
  </si>
  <si>
    <t xml:space="preserve">V-002</t>
  </si>
  <si>
    <t xml:space="preserve">Database Server</t>
  </si>
  <si>
    <t xml:space="preserve">Default Credentials</t>
  </si>
  <si>
    <t xml:space="preserve">Configuration</t>
  </si>
  <si>
    <t xml:space="preserve">Jane Doe</t>
  </si>
  <si>
    <t xml:space="preserve">Database admin account using default password</t>
  </si>
  <si>
    <t xml:space="preserve">Change default credentials</t>
  </si>
  <si>
    <t xml:space="preserve">Critical - change immediately</t>
  </si>
  <si>
    <t xml:space="preserve">V-003</t>
  </si>
  <si>
    <t xml:space="preserve">Application Server</t>
  </si>
  <si>
    <t xml:space="preserve">Missing Patch - Log4J</t>
  </si>
  <si>
    <t xml:space="preserve">Patch Management</t>
  </si>
  <si>
    <t xml:space="preserve">Mike Johnson</t>
  </si>
  <si>
    <t xml:space="preserve">Log4J vulnerability in Java application</t>
  </si>
  <si>
    <t xml:space="preserve">Apply latest security patch</t>
  </si>
  <si>
    <t xml:space="preserve">Resolved on time</t>
  </si>
  <si>
    <t xml:space="preserve">V-004</t>
  </si>
  <si>
    <t xml:space="preserve">Web Server 02</t>
  </si>
  <si>
    <t xml:space="preserve">Weak SSL/TLS Configuration</t>
  </si>
  <si>
    <t xml:space="preserve">CVSS:3.1/AV:N/AC:L/PR:N/UI:N/S:U/C:H/I:N/A:N</t>
  </si>
  <si>
    <t xml:space="preserve">Sarah Chen</t>
  </si>
  <si>
    <t xml:space="preserve">Server using deprecated TLS 1.0</t>
  </si>
  <si>
    <t xml:space="preserve">Upgrade to TLS 1.2+</t>
  </si>
  <si>
    <t xml:space="preserve">Waiting for change window</t>
  </si>
  <si>
    <t xml:space="preserve">RISK ASSESSMENT FRAMEWORK</t>
  </si>
  <si>
    <t xml:space="preserve">CVSS TO RISK LEVEL MAPPING</t>
  </si>
  <si>
    <t xml:space="preserve">CVSS Range</t>
  </si>
  <si>
    <t xml:space="preserve">Response Time</t>
  </si>
  <si>
    <t xml:space="preserve">Action</t>
  </si>
  <si>
    <t xml:space="preserve">Color</t>
  </si>
  <si>
    <t xml:space="preserve">9.0-10.0</t>
  </si>
  <si>
    <t xml:space="preserve">24 Hours</t>
  </si>
  <si>
    <t xml:space="preserve">Immediate action required - escalate to leadership</t>
  </si>
  <si>
    <t xml:space="preserve">C00000</t>
  </si>
  <si>
    <t xml:space="preserve">7.0-8.9</t>
  </si>
  <si>
    <t xml:space="preserve">3-5 Days</t>
  </si>
  <si>
    <t xml:space="preserve">Urgent remediation required - assign resources</t>
  </si>
  <si>
    <t xml:space="preserve">FF6600</t>
  </si>
  <si>
    <t xml:space="preserve">4.0-6.9</t>
  </si>
  <si>
    <t xml:space="preserve">2-4 Weeks</t>
  </si>
  <si>
    <t xml:space="preserve">Schedule remediation - plan implementation</t>
  </si>
  <si>
    <t xml:space="preserve">FFD966</t>
  </si>
  <si>
    <t xml:space="preserve">0.1-3.9</t>
  </si>
  <si>
    <t xml:space="preserve">Low</t>
  </si>
  <si>
    <t xml:space="preserve">1-3 Months</t>
  </si>
  <si>
    <t xml:space="preserve">Track and monitor - remediate in normal cycle</t>
  </si>
  <si>
    <t xml:space="preserve">70AD47</t>
  </si>
  <si>
    <t xml:space="preserve">REMEDIATION PRIORITY MATRIX</t>
  </si>
  <si>
    <t xml:space="preserve">Priority Level</t>
  </si>
  <si>
    <t xml:space="preserve">Action Items</t>
  </si>
  <si>
    <t xml:space="preserve">Owner Responsible</t>
  </si>
  <si>
    <t xml:space="preserve">SLA</t>
  </si>
  <si>
    <t xml:space="preserve">P1 - Critical</t>
  </si>
  <si>
    <t xml:space="preserve">Enterprise-wide security impact</t>
  </si>
  <si>
    <t xml:space="preserve">Activate incident response, Executive notification, Immediate patch/workaround</t>
  </si>
  <si>
    <t xml:space="preserve">CISO, Security Team</t>
  </si>
  <si>
    <t xml:space="preserve">P2 - High</t>
  </si>
  <si>
    <t xml:space="preserve">Multiple systems or departments affected</t>
  </si>
  <si>
    <t xml:space="preserve">Assign dedicated resources, Develop fix, Schedule deployment</t>
  </si>
  <si>
    <t xml:space="preserve">Security Lead</t>
  </si>
  <si>
    <t xml:space="preserve">5 Business Days</t>
  </si>
  <si>
    <t xml:space="preserve">P3 - Medium</t>
  </si>
  <si>
    <t xml:space="preserve">Isolated impact, manageable scope</t>
  </si>
  <si>
    <t xml:space="preserve">Plan remediation, Order resources if needed, Schedule fix</t>
  </si>
  <si>
    <t xml:space="preserve">Team Lead</t>
  </si>
  <si>
    <t xml:space="preserve">30 Days</t>
  </si>
  <si>
    <t xml:space="preserve">P4 - Low</t>
  </si>
  <si>
    <t xml:space="preserve">Minor impact, tracked for future</t>
  </si>
  <si>
    <t xml:space="preserve">Monitor, Document, Include in regular maintenance</t>
  </si>
  <si>
    <t xml:space="preserve">Development Team</t>
  </si>
  <si>
    <t xml:space="preserve">90 Days</t>
  </si>
  <si>
    <t xml:space="preserve">% Complete</t>
  </si>
  <si>
    <t xml:space="preserve">Remediation Steps</t>
  </si>
  <si>
    <t xml:space="preserve">Actual Date</t>
  </si>
  <si>
    <t xml:space="preserve">Step 1: Code review (Complete) → Step 2: Unit testing (In Progress) → Step 3: UAT → Step 4: Deploy</t>
  </si>
  <si>
    <t xml:space="preserve">Step 1: Approve change → Step 2: Execute credentials change → Step 3: Verify and document</t>
  </si>
  <si>
    <t xml:space="preserve">Step 1: Pre-patch testing → Step 2: Apply patch → Step 3: Post-patch verification</t>
  </si>
  <si>
    <t xml:space="preserve">Asset ID</t>
  </si>
  <si>
    <t xml:space="preserve">Asset Name</t>
  </si>
  <si>
    <t xml:space="preserve">Asset Type</t>
  </si>
  <si>
    <t xml:space="preserve">Environment</t>
  </si>
  <si>
    <t xml:space="preserve">Last Scanned</t>
  </si>
  <si>
    <t xml:space="preserve">Total Vulns</t>
  </si>
  <si>
    <t xml:space="preserve">Critical Vulns</t>
  </si>
  <si>
    <t xml:space="preserve">ASSET-001</t>
  </si>
  <si>
    <t xml:space="preserve">Web Server</t>
  </si>
  <si>
    <t xml:space="preserve">Production</t>
  </si>
  <si>
    <t xml:space="preserve">ASSET-002</t>
  </si>
  <si>
    <t xml:space="preserve">Database</t>
  </si>
  <si>
    <t xml:space="preserve">ASSET-003</t>
  </si>
  <si>
    <t xml:space="preserve">Application</t>
  </si>
  <si>
    <t xml:space="preserve">ASSET-004</t>
  </si>
  <si>
    <t xml:space="preserve">Staging</t>
  </si>
  <si>
    <t xml:space="preserve">Scan ID</t>
  </si>
  <si>
    <t xml:space="preserve">Scan Date</t>
  </si>
  <si>
    <t xml:space="preserve">Next Scan Due</t>
  </si>
  <si>
    <t xml:space="preserve">Tool Used</t>
  </si>
  <si>
    <t xml:space="preserve">Findings</t>
  </si>
  <si>
    <t xml:space="preserve">SCAN-001</t>
  </si>
  <si>
    <t xml:space="preserve">Nessus Professional</t>
  </si>
  <si>
    <t xml:space="preserve">15 vulnerabilities (1 Critical, 3 High, 5 Medium, 6 Low)</t>
  </si>
  <si>
    <t xml:space="preserve">SCAN-002</t>
  </si>
  <si>
    <t xml:space="preserve">8 vulnerabilities (1 Critical, 2 High, 3 Medium, 2 Low)</t>
  </si>
  <si>
    <t xml:space="preserve">SCAN-003</t>
  </si>
  <si>
    <t xml:space="preserve">Burp Suite Enterprise</t>
  </si>
  <si>
    <t xml:space="preserve">22 vulnerabilities (0 Critical, 5 High, 8 Medium, 9 Low)</t>
  </si>
  <si>
    <t xml:space="preserve">SCAN-004</t>
  </si>
  <si>
    <t xml:space="preserve">12 vulnerabilities (0 Critical, 2 High, 5 Medium, 5 Low)</t>
  </si>
  <si>
    <t xml:space="preserve">COLOR CODING LEGEND</t>
  </si>
  <si>
    <t xml:space="preserve">Severity/Risk Level</t>
  </si>
  <si>
    <t xml:space="preserve">Requires immediate action - Active exploitation likely</t>
  </si>
  <si>
    <t xml:space="preserve">Urgent remediation needed - Significant business impact</t>
  </si>
  <si>
    <t xml:space="preserve">Schedule remediation - Moderate business impact</t>
  </si>
  <si>
    <t xml:space="preserve">Track and monitor - Minor business impact</t>
  </si>
  <si>
    <t xml:space="preserve">STATUS MEANINGS</t>
  </si>
  <si>
    <t xml:space="preserve">Color Code</t>
  </si>
  <si>
    <t xml:space="preserve">Definition</t>
  </si>
  <si>
    <t xml:space="preserve">Vulnerability identified, remediation not started</t>
  </si>
  <si>
    <t xml:space="preserve">Remediation work is underway</t>
  </si>
  <si>
    <t xml:space="preserve">Vulnerability has been fixed and verified</t>
  </si>
  <si>
    <t xml:space="preserve">Remediation postponed to future date</t>
  </si>
  <si>
    <t xml:space="preserve">KEY METRICS DEFINITIONS</t>
  </si>
  <si>
    <t xml:space="preserve">Metric</t>
  </si>
  <si>
    <t xml:space="preserve">Calculation</t>
  </si>
  <si>
    <t xml:space="preserve">Purpose</t>
  </si>
  <si>
    <t xml:space="preserve">Industry-standard vulnerability severity (0.0-10.0)</t>
  </si>
  <si>
    <t xml:space="preserve">Quantify technical impact of vulnerability</t>
  </si>
  <si>
    <t xml:space="preserve">Mean Time to Detect</t>
  </si>
  <si>
    <t xml:space="preserve">Average days from discovery to identification</t>
  </si>
  <si>
    <t xml:space="preserve">Track detection effectiveness</t>
  </si>
  <si>
    <t xml:space="preserve">Mean Time to Remediate</t>
  </si>
  <si>
    <t xml:space="preserve">Average days from discovery to resolution</t>
  </si>
  <si>
    <t xml:space="preserve">Measure remediation efficiency</t>
  </si>
  <si>
    <t xml:space="preserve">Vulnerability Density</t>
  </si>
  <si>
    <t xml:space="preserve">Total vulnerabilities / lines of code or assets</t>
  </si>
  <si>
    <t xml:space="preserve">Compare vulnerability rates across systems</t>
  </si>
  <si>
    <t xml:space="preserve">Remediation Rate</t>
  </si>
  <si>
    <t xml:space="preserve">Vulnerabilities resolved / total vulnerabilities</t>
  </si>
  <si>
    <t xml:space="preserve">Track progress on vulnerability management</t>
  </si>
  <si>
    <t xml:space="preserve">REMEDIATION SLA GUIDELINES</t>
  </si>
  <si>
    <t xml:space="preserve">Initial Assessment</t>
  </si>
  <si>
    <t xml:space="preserve">Temporary Workaround</t>
  </si>
  <si>
    <t xml:space="preserve">Permanent Fix</t>
  </si>
  <si>
    <t xml:space="preserve">Verification</t>
  </si>
  <si>
    <t xml:space="preserve">24 hours</t>
  </si>
  <si>
    <t xml:space="preserve">48 hours</t>
  </si>
  <si>
    <t xml:space="preserve">5-7 days</t>
  </si>
  <si>
    <t xml:space="preserve">7 days</t>
  </si>
  <si>
    <t xml:space="preserve">3-5 days</t>
  </si>
  <si>
    <t xml:space="preserve">14 days</t>
  </si>
  <si>
    <t xml:space="preserve">30 days</t>
  </si>
  <si>
    <t xml:space="preserve">60 days</t>
  </si>
  <si>
    <t xml:space="preserve">90 days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</si>
</sst>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6600"/>
        <bgColor rgb="FFFF9900"/>
      </patternFill>
    </fill>
    <fill>
      <patternFill patternType="solid">
        <fgColor rgb="FFFFD966"/>
        <bgColor rgb="FFFFFF99"/>
      </patternFill>
    </fill>
    <fill>
      <patternFill patternType="solid">
        <fgColor rgb="FF70AD47"/>
        <bgColor rgb="FF3399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5" customFormat="false" ht="24.75" hidden="false" customHeight="true" outlineLevel="0" collapsed="false">
      <c r="A5" s="7" t="n">
        <f aca="false">COUNTIFS('VULNERABILITY REGISTER'!$F:$F,"Critical")</f>
        <v>0</v>
      </c>
      <c r="B5" s="8" t="n">
        <f aca="false">COUNTIFS('VULNERABILITY REGISTER'!$F:$F,"High")</f>
        <v>0</v>
      </c>
      <c r="C5" s="9" t="n">
        <f aca="false">COUNTIFS('VULNERABILITY REGISTER'!$F:$F,"Medium")</f>
        <v>0</v>
      </c>
      <c r="D5" s="10" t="n">
        <f aca="false">COUNTIFS('VULNERABILITY REGISTER'!$F:$F,"Low")</f>
        <v>0</v>
      </c>
    </row>
    <row r="6" customFormat="false" ht="15" hidden="false" customHeight="false" outlineLevel="0" collapsed="false">
      <c r="A6" s="11" t="s">
        <v>6</v>
      </c>
      <c r="B6" s="12" t="n">
        <f aca="false">SUM(B5:E5)</f>
        <v>0</v>
      </c>
    </row>
    <row r="8" customFormat="false" ht="15" hidden="false" customHeight="false" outlineLevel="0" collapsed="false">
      <c r="A8" s="13" t="s">
        <v>7</v>
      </c>
      <c r="B8" s="13"/>
    </row>
    <row r="9" customFormat="false" ht="15" hidden="false" customHeight="false" outlineLevel="0" collapsed="false">
      <c r="A9" s="14" t="s">
        <v>8</v>
      </c>
      <c r="B9" s="15" t="n">
        <f aca="false">COUNTIFS('VULNERABILITY REGISTER'!$H:$H,"Open")</f>
        <v>1</v>
      </c>
    </row>
    <row r="10" customFormat="false" ht="15" hidden="false" customHeight="false" outlineLevel="0" collapsed="false">
      <c r="A10" s="14" t="s">
        <v>9</v>
      </c>
      <c r="B10" s="15" t="n">
        <f aca="false">COUNTIFS('VULNERABILITY REGISTER'!$H:$H,"In Progress")</f>
        <v>2</v>
      </c>
    </row>
    <row r="11" customFormat="false" ht="15" hidden="false" customHeight="false" outlineLevel="0" collapsed="false">
      <c r="A11" s="14" t="s">
        <v>10</v>
      </c>
      <c r="B11" s="15" t="n">
        <f aca="false">COUNTIFS('VULNERABILITY REGISTER'!$H:$H,"Resolved")</f>
        <v>1</v>
      </c>
    </row>
    <row r="12" customFormat="false" ht="15" hidden="false" customHeight="false" outlineLevel="0" collapsed="false">
      <c r="A12" s="14" t="s">
        <v>11</v>
      </c>
      <c r="B12" s="15" t="n">
        <f aca="false">COUNTIFS('VULNERABILITY REGISTER'!$H:$H,"Deferred")</f>
        <v>0</v>
      </c>
    </row>
    <row r="14" customFormat="false" ht="15" hidden="false" customHeight="false" outlineLevel="0" collapsed="false">
      <c r="A14" s="13" t="s">
        <v>12</v>
      </c>
      <c r="B14" s="13"/>
      <c r="C14" s="13"/>
    </row>
    <row r="15" customFormat="false" ht="15" hidden="false" customHeight="false" outlineLevel="0" collapsed="false">
      <c r="A15" s="16" t="s">
        <v>13</v>
      </c>
      <c r="B15" s="16" t="s">
        <v>14</v>
      </c>
      <c r="C15" s="16" t="s">
        <v>15</v>
      </c>
    </row>
    <row r="20" customFormat="false" ht="15" hidden="false" customHeight="false" outlineLevel="0" collapsed="false">
      <c r="A20" s="13" t="s">
        <v>16</v>
      </c>
      <c r="B20" s="13"/>
      <c r="C20" s="13"/>
      <c r="D20" s="13"/>
    </row>
    <row r="21" customFormat="false" ht="15" hidden="false" customHeight="false" outlineLevel="0" collapsed="false">
      <c r="A21" s="17" t="s">
        <v>17</v>
      </c>
      <c r="B21" s="17" t="s">
        <v>18</v>
      </c>
      <c r="C21" s="17" t="s">
        <v>19</v>
      </c>
      <c r="D21" s="17" t="s">
        <v>20</v>
      </c>
    </row>
  </sheetData>
  <mergeCells count="4">
    <mergeCell ref="A1:E1"/>
    <mergeCell ref="A8:B8"/>
    <mergeCell ref="A14:C14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9" min="6" style="0" width="12"/>
    <col collapsed="false" customWidth="true" hidden="false" outlineLevel="0" max="10" min="10" style="0" width="35"/>
    <col collapsed="false" customWidth="true" hidden="false" outlineLevel="0" max="12" min="11" style="0" width="15"/>
    <col collapsed="false" customWidth="true" hidden="false" outlineLevel="0" max="14" min="13" style="0" width="12"/>
  </cols>
  <sheetData>
    <row r="1" customFormat="false" ht="24.75" hidden="false" customHeight="true" outlineLevel="0" collapsed="false">
      <c r="A1" s="18" t="s">
        <v>21</v>
      </c>
      <c r="B1" s="18" t="s">
        <v>22</v>
      </c>
      <c r="C1" s="18" t="s">
        <v>23</v>
      </c>
      <c r="D1" s="18" t="s">
        <v>24</v>
      </c>
      <c r="E1" s="18" t="s">
        <v>25</v>
      </c>
      <c r="F1" s="18" t="s">
        <v>26</v>
      </c>
      <c r="G1" s="18" t="s">
        <v>27</v>
      </c>
      <c r="H1" s="18" t="s">
        <v>28</v>
      </c>
      <c r="I1" s="18" t="s">
        <v>29</v>
      </c>
      <c r="J1" s="18" t="s">
        <v>30</v>
      </c>
      <c r="K1" s="18" t="s">
        <v>31</v>
      </c>
      <c r="L1" s="18" t="s">
        <v>32</v>
      </c>
      <c r="M1" s="18" t="s">
        <v>10</v>
      </c>
      <c r="N1" s="18" t="s">
        <v>33</v>
      </c>
    </row>
    <row r="2" customFormat="false" ht="68.65" hidden="false" customHeight="false" outlineLevel="0" collapsed="false">
      <c r="A2" s="19" t="s">
        <v>34</v>
      </c>
      <c r="B2" s="20" t="n">
        <v>45930.6825298184</v>
      </c>
      <c r="C2" s="19" t="s">
        <v>35</v>
      </c>
      <c r="D2" s="19" t="s">
        <v>36</v>
      </c>
      <c r="E2" s="19" t="s">
        <v>37</v>
      </c>
      <c r="F2" s="19" t="n">
        <v>9.8</v>
      </c>
      <c r="G2" s="19" t="s">
        <v>38</v>
      </c>
      <c r="H2" s="21" t="s">
        <v>9</v>
      </c>
      <c r="I2" s="19" t="s">
        <v>39</v>
      </c>
      <c r="J2" s="19" t="s">
        <v>40</v>
      </c>
      <c r="K2" s="19" t="s">
        <v>41</v>
      </c>
      <c r="L2" s="20" t="n">
        <v>45990.6825298185</v>
      </c>
      <c r="M2" s="19"/>
      <c r="N2" s="19" t="s">
        <v>42</v>
      </c>
    </row>
    <row r="3" customFormat="false" ht="68.65" hidden="false" customHeight="false" outlineLevel="0" collapsed="false">
      <c r="A3" s="19" t="s">
        <v>43</v>
      </c>
      <c r="B3" s="20" t="n">
        <v>45945.6825298185</v>
      </c>
      <c r="C3" s="19" t="s">
        <v>44</v>
      </c>
      <c r="D3" s="19" t="s">
        <v>45</v>
      </c>
      <c r="E3" s="19" t="s">
        <v>46</v>
      </c>
      <c r="F3" s="19" t="n">
        <v>9.1</v>
      </c>
      <c r="G3" s="19" t="s">
        <v>38</v>
      </c>
      <c r="H3" s="22" t="s">
        <v>8</v>
      </c>
      <c r="I3" s="19" t="s">
        <v>47</v>
      </c>
      <c r="J3" s="19" t="s">
        <v>48</v>
      </c>
      <c r="K3" s="19" t="s">
        <v>49</v>
      </c>
      <c r="L3" s="20" t="n">
        <v>45982.6825298185</v>
      </c>
      <c r="M3" s="19"/>
      <c r="N3" s="19" t="s">
        <v>50</v>
      </c>
    </row>
    <row r="4" customFormat="false" ht="68.65" hidden="false" customHeight="false" outlineLevel="0" collapsed="false">
      <c r="A4" s="19" t="s">
        <v>51</v>
      </c>
      <c r="B4" s="20" t="n">
        <v>45960.6825298185</v>
      </c>
      <c r="C4" s="19" t="s">
        <v>52</v>
      </c>
      <c r="D4" s="19" t="s">
        <v>53</v>
      </c>
      <c r="E4" s="19" t="s">
        <v>54</v>
      </c>
      <c r="F4" s="19" t="n">
        <v>10</v>
      </c>
      <c r="G4" s="19" t="s">
        <v>38</v>
      </c>
      <c r="H4" s="23" t="s">
        <v>10</v>
      </c>
      <c r="I4" s="19" t="s">
        <v>55</v>
      </c>
      <c r="J4" s="19" t="s">
        <v>56</v>
      </c>
      <c r="K4" s="19" t="s">
        <v>57</v>
      </c>
      <c r="L4" s="20" t="n">
        <v>45970.6825298185</v>
      </c>
      <c r="M4" s="20" t="n">
        <v>45970.6825298185</v>
      </c>
      <c r="N4" s="19" t="s">
        <v>58</v>
      </c>
    </row>
    <row r="5" customFormat="false" ht="68.65" hidden="false" customHeight="false" outlineLevel="0" collapsed="false">
      <c r="A5" s="19" t="s">
        <v>59</v>
      </c>
      <c r="B5" s="20" t="n">
        <v>45955.6825298185</v>
      </c>
      <c r="C5" s="19" t="s">
        <v>60</v>
      </c>
      <c r="D5" s="19" t="s">
        <v>61</v>
      </c>
      <c r="E5" s="19" t="s">
        <v>46</v>
      </c>
      <c r="F5" s="19" t="n">
        <v>7.5</v>
      </c>
      <c r="G5" s="19" t="s">
        <v>62</v>
      </c>
      <c r="H5" s="21" t="s">
        <v>9</v>
      </c>
      <c r="I5" s="19" t="s">
        <v>63</v>
      </c>
      <c r="J5" s="19" t="s">
        <v>64</v>
      </c>
      <c r="K5" s="19" t="s">
        <v>65</v>
      </c>
      <c r="L5" s="20" t="n">
        <v>45985.6825298186</v>
      </c>
      <c r="M5" s="19"/>
      <c r="N5" s="19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24" t="s">
        <v>67</v>
      </c>
      <c r="B1" s="24"/>
      <c r="C1" s="24"/>
      <c r="D1" s="24"/>
      <c r="E1" s="24"/>
    </row>
    <row r="3" customFormat="false" ht="15" hidden="false" customHeight="false" outlineLevel="0" collapsed="false">
      <c r="A3" s="25" t="s">
        <v>68</v>
      </c>
      <c r="B3" s="25"/>
      <c r="C3" s="25"/>
      <c r="D3" s="25"/>
      <c r="E3" s="25"/>
    </row>
    <row r="4" customFormat="false" ht="15" hidden="false" customHeight="false" outlineLevel="0" collapsed="false">
      <c r="A4" s="17" t="s">
        <v>69</v>
      </c>
      <c r="B4" s="17" t="s">
        <v>15</v>
      </c>
      <c r="C4" s="17" t="s">
        <v>70</v>
      </c>
      <c r="D4" s="17" t="s">
        <v>71</v>
      </c>
      <c r="E4" s="17" t="s">
        <v>72</v>
      </c>
    </row>
    <row r="5" customFormat="false" ht="28.35" hidden="false" customHeight="false" outlineLevel="0" collapsed="false">
      <c r="A5" s="26" t="s">
        <v>73</v>
      </c>
      <c r="B5" s="26" t="s">
        <v>18</v>
      </c>
      <c r="C5" s="26" t="s">
        <v>74</v>
      </c>
      <c r="D5" s="26" t="s">
        <v>75</v>
      </c>
      <c r="E5" s="27" t="s">
        <v>76</v>
      </c>
    </row>
    <row r="6" customFormat="false" ht="28.35" hidden="false" customHeight="false" outlineLevel="0" collapsed="false">
      <c r="A6" s="26" t="s">
        <v>77</v>
      </c>
      <c r="B6" s="26" t="s">
        <v>19</v>
      </c>
      <c r="C6" s="26" t="s">
        <v>78</v>
      </c>
      <c r="D6" s="26" t="s">
        <v>79</v>
      </c>
      <c r="E6" s="28" t="s">
        <v>80</v>
      </c>
    </row>
    <row r="7" customFormat="false" ht="28.35" hidden="false" customHeight="false" outlineLevel="0" collapsed="false">
      <c r="A7" s="26" t="s">
        <v>81</v>
      </c>
      <c r="B7" s="26" t="s">
        <v>20</v>
      </c>
      <c r="C7" s="26" t="s">
        <v>82</v>
      </c>
      <c r="D7" s="26" t="s">
        <v>83</v>
      </c>
      <c r="E7" s="29" t="s">
        <v>84</v>
      </c>
    </row>
    <row r="8" customFormat="false" ht="28.35" hidden="false" customHeight="false" outlineLevel="0" collapsed="false">
      <c r="A8" s="26" t="s">
        <v>85</v>
      </c>
      <c r="B8" s="26" t="s">
        <v>86</v>
      </c>
      <c r="C8" s="26" t="s">
        <v>87</v>
      </c>
      <c r="D8" s="26" t="s">
        <v>88</v>
      </c>
      <c r="E8" s="30" t="s">
        <v>89</v>
      </c>
    </row>
    <row r="11" customFormat="false" ht="15" hidden="false" customHeight="false" outlineLevel="0" collapsed="false">
      <c r="A11" s="25" t="s">
        <v>90</v>
      </c>
      <c r="B11" s="25"/>
      <c r="C11" s="25"/>
      <c r="D11" s="25"/>
      <c r="E11" s="25"/>
    </row>
    <row r="12" customFormat="false" ht="15" hidden="false" customHeight="false" outlineLevel="0" collapsed="false">
      <c r="A12" s="17" t="s">
        <v>91</v>
      </c>
      <c r="B12" s="17" t="s">
        <v>30</v>
      </c>
      <c r="C12" s="17" t="s">
        <v>92</v>
      </c>
      <c r="D12" s="17" t="s">
        <v>93</v>
      </c>
      <c r="E12" s="17" t="s">
        <v>94</v>
      </c>
    </row>
    <row r="13" customFormat="false" ht="68.65" hidden="false" customHeight="false" outlineLevel="0" collapsed="false">
      <c r="A13" s="19" t="s">
        <v>95</v>
      </c>
      <c r="B13" s="19" t="s">
        <v>96</v>
      </c>
      <c r="C13" s="19" t="s">
        <v>97</v>
      </c>
      <c r="D13" s="19" t="s">
        <v>98</v>
      </c>
      <c r="E13" s="19" t="s">
        <v>74</v>
      </c>
    </row>
    <row r="14" customFormat="false" ht="55.2" hidden="false" customHeight="false" outlineLevel="0" collapsed="false">
      <c r="A14" s="19" t="s">
        <v>99</v>
      </c>
      <c r="B14" s="19" t="s">
        <v>100</v>
      </c>
      <c r="C14" s="19" t="s">
        <v>101</v>
      </c>
      <c r="D14" s="19" t="s">
        <v>102</v>
      </c>
      <c r="E14" s="19" t="s">
        <v>103</v>
      </c>
    </row>
    <row r="15" customFormat="false" ht="55.2" hidden="false" customHeight="false" outlineLevel="0" collapsed="false">
      <c r="A15" s="19" t="s">
        <v>104</v>
      </c>
      <c r="B15" s="19" t="s">
        <v>105</v>
      </c>
      <c r="C15" s="19" t="s">
        <v>106</v>
      </c>
      <c r="D15" s="19" t="s">
        <v>107</v>
      </c>
      <c r="E15" s="19" t="s">
        <v>108</v>
      </c>
    </row>
    <row r="16" customFormat="false" ht="55.2" hidden="false" customHeight="false" outlineLevel="0" collapsed="false">
      <c r="A16" s="19" t="s">
        <v>109</v>
      </c>
      <c r="B16" s="19" t="s">
        <v>110</v>
      </c>
      <c r="C16" s="19" t="s">
        <v>111</v>
      </c>
      <c r="D16" s="19" t="s">
        <v>112</v>
      </c>
      <c r="E16" s="19" t="s">
        <v>113</v>
      </c>
    </row>
  </sheetData>
  <mergeCells count="3">
    <mergeCell ref="A1:E1"/>
    <mergeCell ref="A3:E3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30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24.75" hidden="false" customHeight="true" outlineLevel="0" collapsed="false">
      <c r="A1" s="18" t="s">
        <v>21</v>
      </c>
      <c r="B1" s="18" t="s">
        <v>15</v>
      </c>
      <c r="C1" s="18" t="s">
        <v>13</v>
      </c>
      <c r="D1" s="18" t="s">
        <v>29</v>
      </c>
      <c r="E1" s="18" t="s">
        <v>28</v>
      </c>
      <c r="F1" s="18" t="s">
        <v>114</v>
      </c>
      <c r="G1" s="18" t="s">
        <v>115</v>
      </c>
      <c r="H1" s="18" t="s">
        <v>32</v>
      </c>
      <c r="I1" s="18" t="s">
        <v>116</v>
      </c>
    </row>
    <row r="2" customFormat="false" ht="41.75" hidden="false" customHeight="false" outlineLevel="0" collapsed="false">
      <c r="A2" s="19" t="s">
        <v>34</v>
      </c>
      <c r="B2" s="21" t="s">
        <v>19</v>
      </c>
      <c r="C2" s="19" t="s">
        <v>35</v>
      </c>
      <c r="D2" s="19" t="s">
        <v>39</v>
      </c>
      <c r="E2" s="21" t="s">
        <v>9</v>
      </c>
      <c r="F2" s="31" t="n">
        <v>0.65</v>
      </c>
      <c r="G2" s="19" t="s">
        <v>117</v>
      </c>
      <c r="H2" s="20" t="n">
        <v>45990.6825299008</v>
      </c>
      <c r="I2" s="19"/>
    </row>
    <row r="3" customFormat="false" ht="41.75" hidden="false" customHeight="false" outlineLevel="0" collapsed="false">
      <c r="A3" s="19" t="s">
        <v>43</v>
      </c>
      <c r="B3" s="22" t="s">
        <v>18</v>
      </c>
      <c r="C3" s="19" t="s">
        <v>44</v>
      </c>
      <c r="D3" s="19" t="s">
        <v>47</v>
      </c>
      <c r="E3" s="22" t="s">
        <v>8</v>
      </c>
      <c r="F3" s="32" t="n">
        <v>0</v>
      </c>
      <c r="G3" s="19" t="s">
        <v>118</v>
      </c>
      <c r="H3" s="20" t="n">
        <v>45982.6825299009</v>
      </c>
      <c r="I3" s="19"/>
    </row>
    <row r="4" customFormat="false" ht="41.75" hidden="false" customHeight="false" outlineLevel="0" collapsed="false">
      <c r="A4" s="19" t="s">
        <v>51</v>
      </c>
      <c r="B4" s="22" t="s">
        <v>18</v>
      </c>
      <c r="C4" s="19" t="s">
        <v>52</v>
      </c>
      <c r="D4" s="19" t="s">
        <v>55</v>
      </c>
      <c r="E4" s="23" t="s">
        <v>10</v>
      </c>
      <c r="F4" s="33" t="n">
        <v>1</v>
      </c>
      <c r="G4" s="19" t="s">
        <v>119</v>
      </c>
      <c r="H4" s="20" t="n">
        <v>45970.6825299009</v>
      </c>
      <c r="I4" s="20" t="n">
        <v>45970.6825299009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34" t="s">
        <v>120</v>
      </c>
      <c r="B1" s="34" t="s">
        <v>121</v>
      </c>
      <c r="C1" s="34" t="s">
        <v>122</v>
      </c>
      <c r="D1" s="34" t="s">
        <v>29</v>
      </c>
      <c r="E1" s="34" t="s">
        <v>123</v>
      </c>
      <c r="F1" s="34" t="s">
        <v>124</v>
      </c>
      <c r="G1" s="34" t="s">
        <v>125</v>
      </c>
      <c r="H1" s="34" t="s">
        <v>126</v>
      </c>
    </row>
    <row r="2" customFormat="false" ht="15" hidden="false" customHeight="false" outlineLevel="0" collapsed="false">
      <c r="A2" s="35" t="s">
        <v>127</v>
      </c>
      <c r="B2" s="35" t="s">
        <v>35</v>
      </c>
      <c r="C2" s="35" t="s">
        <v>128</v>
      </c>
      <c r="D2" s="35" t="s">
        <v>39</v>
      </c>
      <c r="E2" s="35" t="s">
        <v>129</v>
      </c>
      <c r="F2" s="36" t="n">
        <v>45968.6825299389</v>
      </c>
      <c r="G2" s="37" t="n">
        <f aca="false">COUNTIF('VULNERABILITY REGISTER'!$C:$C,"Web Server 01")</f>
        <v>1</v>
      </c>
      <c r="H2" s="37" t="n">
        <f aca="false">COUNTIFS('VULNERABILITY REGISTER'!$C:$C,"Web Server 01",'VULNERABILITY REGISTER'!$F:$F,"Critical")</f>
        <v>0</v>
      </c>
    </row>
    <row r="3" customFormat="false" ht="15" hidden="false" customHeight="false" outlineLevel="0" collapsed="false">
      <c r="A3" s="35" t="s">
        <v>130</v>
      </c>
      <c r="B3" s="35" t="s">
        <v>44</v>
      </c>
      <c r="C3" s="35" t="s">
        <v>131</v>
      </c>
      <c r="D3" s="35" t="s">
        <v>47</v>
      </c>
      <c r="E3" s="35" t="s">
        <v>129</v>
      </c>
      <c r="F3" s="36" t="n">
        <v>45970.6825299389</v>
      </c>
      <c r="G3" s="37" t="n">
        <f aca="false">COUNTIF('VULNERABILITY REGISTER'!$C:$C,"Database Server")</f>
        <v>1</v>
      </c>
      <c r="H3" s="37" t="n">
        <f aca="false">COUNTIFS('VULNERABILITY REGISTER'!$C:$C,"Database Server",'VULNERABILITY REGISTER'!$F:$F,"Critical")</f>
        <v>0</v>
      </c>
    </row>
    <row r="4" customFormat="false" ht="15" hidden="false" customHeight="false" outlineLevel="0" collapsed="false">
      <c r="A4" s="35" t="s">
        <v>132</v>
      </c>
      <c r="B4" s="35" t="s">
        <v>52</v>
      </c>
      <c r="C4" s="35" t="s">
        <v>133</v>
      </c>
      <c r="D4" s="35" t="s">
        <v>55</v>
      </c>
      <c r="E4" s="35" t="s">
        <v>129</v>
      </c>
      <c r="F4" s="36" t="n">
        <v>45961.6825299389</v>
      </c>
      <c r="G4" s="37" t="n">
        <f aca="false">COUNTIF('VULNERABILITY REGISTER'!$C:$C,"Application Server")</f>
        <v>1</v>
      </c>
      <c r="H4" s="37" t="n">
        <f aca="false">COUNTIFS('VULNERABILITY REGISTER'!$C:$C,"Application Server",'VULNERABILITY REGISTER'!$F:$F,"Critical")</f>
        <v>0</v>
      </c>
    </row>
    <row r="5" customFormat="false" ht="15" hidden="false" customHeight="false" outlineLevel="0" collapsed="false">
      <c r="A5" s="35" t="s">
        <v>134</v>
      </c>
      <c r="B5" s="35" t="s">
        <v>60</v>
      </c>
      <c r="C5" s="35" t="s">
        <v>128</v>
      </c>
      <c r="D5" s="35" t="s">
        <v>63</v>
      </c>
      <c r="E5" s="35" t="s">
        <v>135</v>
      </c>
      <c r="F5" s="36" t="n">
        <v>45954.6825299389</v>
      </c>
      <c r="G5" s="37" t="n">
        <f aca="false">COUNTIF('VULNERABILITY REGISTER'!$C:$C,"Web Server 02")</f>
        <v>1</v>
      </c>
      <c r="H5" s="37" t="n">
        <f aca="false">COUNTIFS('VULNERABILITY REGISTER'!$C:$C,"Web Server 02",'VULNERABILITY REGISTER'!$F:$F,"Critical")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5" min="3" style="0" width="15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34" t="s">
        <v>136</v>
      </c>
      <c r="B1" s="34" t="s">
        <v>13</v>
      </c>
      <c r="C1" s="34" t="s">
        <v>137</v>
      </c>
      <c r="D1" s="34" t="s">
        <v>138</v>
      </c>
      <c r="E1" s="34" t="s">
        <v>139</v>
      </c>
      <c r="F1" s="34" t="s">
        <v>140</v>
      </c>
    </row>
    <row r="2" customFormat="false" ht="28.35" hidden="false" customHeight="false" outlineLevel="0" collapsed="false">
      <c r="A2" s="19" t="s">
        <v>141</v>
      </c>
      <c r="B2" s="19" t="s">
        <v>35</v>
      </c>
      <c r="C2" s="20" t="n">
        <v>45968.6825299602</v>
      </c>
      <c r="D2" s="20" t="n">
        <v>45998.6825299603</v>
      </c>
      <c r="E2" s="19" t="s">
        <v>142</v>
      </c>
      <c r="F2" s="19" t="s">
        <v>143</v>
      </c>
    </row>
    <row r="3" customFormat="false" ht="28.35" hidden="false" customHeight="false" outlineLevel="0" collapsed="false">
      <c r="A3" s="19" t="s">
        <v>144</v>
      </c>
      <c r="B3" s="19" t="s">
        <v>44</v>
      </c>
      <c r="C3" s="20" t="n">
        <v>45970.6825299603</v>
      </c>
      <c r="D3" s="20" t="n">
        <v>46000.6825299603</v>
      </c>
      <c r="E3" s="19" t="s">
        <v>142</v>
      </c>
      <c r="F3" s="19" t="s">
        <v>145</v>
      </c>
    </row>
    <row r="4" customFormat="false" ht="28.35" hidden="false" customHeight="false" outlineLevel="0" collapsed="false">
      <c r="A4" s="19" t="s">
        <v>146</v>
      </c>
      <c r="B4" s="19" t="s">
        <v>52</v>
      </c>
      <c r="C4" s="20" t="n">
        <v>45961.6825299603</v>
      </c>
      <c r="D4" s="20" t="n">
        <v>45991.6825299603</v>
      </c>
      <c r="E4" s="19" t="s">
        <v>147</v>
      </c>
      <c r="F4" s="19" t="s">
        <v>148</v>
      </c>
    </row>
    <row r="5" customFormat="false" ht="28.35" hidden="false" customHeight="false" outlineLevel="0" collapsed="false">
      <c r="A5" s="19" t="s">
        <v>149</v>
      </c>
      <c r="B5" s="19" t="s">
        <v>60</v>
      </c>
      <c r="C5" s="20" t="n">
        <v>45954.6825299603</v>
      </c>
      <c r="D5" s="20" t="n">
        <v>45984.6825299603</v>
      </c>
      <c r="E5" s="19" t="s">
        <v>142</v>
      </c>
      <c r="F5" s="19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38" t="s">
        <v>151</v>
      </c>
      <c r="B1" s="38"/>
      <c r="C1" s="38"/>
    </row>
    <row r="2" customFormat="false" ht="15" hidden="false" customHeight="false" outlineLevel="0" collapsed="false">
      <c r="A2" s="17" t="s">
        <v>152</v>
      </c>
      <c r="B2" s="17" t="s">
        <v>72</v>
      </c>
      <c r="C2" s="17" t="s">
        <v>30</v>
      </c>
    </row>
    <row r="3" customFormat="false" ht="41.75" hidden="false" customHeight="false" outlineLevel="0" collapsed="false">
      <c r="A3" s="19" t="s">
        <v>2</v>
      </c>
      <c r="B3" s="39" t="s">
        <v>76</v>
      </c>
      <c r="C3" s="19" t="s">
        <v>153</v>
      </c>
    </row>
    <row r="4" customFormat="false" ht="41.75" hidden="false" customHeight="false" outlineLevel="0" collapsed="false">
      <c r="A4" s="19" t="s">
        <v>3</v>
      </c>
      <c r="B4" s="40" t="s">
        <v>80</v>
      </c>
      <c r="C4" s="19" t="s">
        <v>154</v>
      </c>
    </row>
    <row r="5" customFormat="false" ht="41.75" hidden="false" customHeight="false" outlineLevel="0" collapsed="false">
      <c r="A5" s="19" t="s">
        <v>4</v>
      </c>
      <c r="B5" s="41" t="s">
        <v>84</v>
      </c>
      <c r="C5" s="19" t="s">
        <v>155</v>
      </c>
    </row>
    <row r="6" customFormat="false" ht="28.35" hidden="false" customHeight="false" outlineLevel="0" collapsed="false">
      <c r="A6" s="19" t="s">
        <v>5</v>
      </c>
      <c r="B6" s="42" t="s">
        <v>89</v>
      </c>
      <c r="C6" s="19" t="s">
        <v>156</v>
      </c>
    </row>
    <row r="8" customFormat="false" ht="15" hidden="false" customHeight="false" outlineLevel="0" collapsed="false">
      <c r="A8" s="38" t="s">
        <v>157</v>
      </c>
      <c r="B8" s="38"/>
      <c r="C8" s="38"/>
    </row>
    <row r="9" customFormat="false" ht="15" hidden="false" customHeight="false" outlineLevel="0" collapsed="false">
      <c r="A9" s="17" t="s">
        <v>28</v>
      </c>
      <c r="B9" s="17" t="s">
        <v>158</v>
      </c>
      <c r="C9" s="17" t="s">
        <v>159</v>
      </c>
    </row>
    <row r="10" customFormat="false" ht="55.2" hidden="false" customHeight="false" outlineLevel="0" collapsed="false">
      <c r="A10" s="19" t="s">
        <v>8</v>
      </c>
      <c r="B10" s="39" t="s">
        <v>76</v>
      </c>
      <c r="C10" s="19" t="s">
        <v>160</v>
      </c>
    </row>
    <row r="11" customFormat="false" ht="28.35" hidden="false" customHeight="false" outlineLevel="0" collapsed="false">
      <c r="A11" s="19" t="s">
        <v>9</v>
      </c>
      <c r="B11" s="40" t="s">
        <v>80</v>
      </c>
      <c r="C11" s="19" t="s">
        <v>161</v>
      </c>
    </row>
    <row r="12" customFormat="false" ht="28.35" hidden="false" customHeight="false" outlineLevel="0" collapsed="false">
      <c r="A12" s="19" t="s">
        <v>10</v>
      </c>
      <c r="B12" s="42" t="s">
        <v>89</v>
      </c>
      <c r="C12" s="19" t="s">
        <v>162</v>
      </c>
    </row>
    <row r="13" customFormat="false" ht="41.75" hidden="false" customHeight="false" outlineLevel="0" collapsed="false">
      <c r="A13" s="19" t="s">
        <v>11</v>
      </c>
      <c r="B13" s="41" t="s">
        <v>84</v>
      </c>
      <c r="C13" s="19" t="s">
        <v>163</v>
      </c>
    </row>
    <row r="15" customFormat="false" ht="15" hidden="false" customHeight="false" outlineLevel="0" collapsed="false">
      <c r="A15" s="38" t="s">
        <v>164</v>
      </c>
      <c r="B15" s="38"/>
      <c r="C15" s="38"/>
    </row>
    <row r="16" customFormat="false" ht="15" hidden="false" customHeight="false" outlineLevel="0" collapsed="false">
      <c r="A16" s="17" t="s">
        <v>165</v>
      </c>
      <c r="B16" s="17" t="s">
        <v>166</v>
      </c>
      <c r="C16" s="17" t="s">
        <v>167</v>
      </c>
    </row>
    <row r="17" customFormat="false" ht="28.35" hidden="false" customHeight="false" outlineLevel="0" collapsed="false">
      <c r="A17" s="19" t="s">
        <v>27</v>
      </c>
      <c r="B17" s="19" t="s">
        <v>168</v>
      </c>
      <c r="C17" s="19" t="s">
        <v>169</v>
      </c>
    </row>
    <row r="18" customFormat="false" ht="28.35" hidden="false" customHeight="false" outlineLevel="0" collapsed="false">
      <c r="A18" s="19" t="s">
        <v>170</v>
      </c>
      <c r="B18" s="19" t="s">
        <v>171</v>
      </c>
      <c r="C18" s="19" t="s">
        <v>172</v>
      </c>
    </row>
    <row r="19" customFormat="false" ht="28.35" hidden="false" customHeight="false" outlineLevel="0" collapsed="false">
      <c r="A19" s="19" t="s">
        <v>173</v>
      </c>
      <c r="B19" s="19" t="s">
        <v>174</v>
      </c>
      <c r="C19" s="19" t="s">
        <v>175</v>
      </c>
    </row>
    <row r="20" customFormat="false" ht="28.35" hidden="false" customHeight="false" outlineLevel="0" collapsed="false">
      <c r="A20" s="19" t="s">
        <v>176</v>
      </c>
      <c r="B20" s="19" t="s">
        <v>177</v>
      </c>
      <c r="C20" s="19" t="s">
        <v>178</v>
      </c>
    </row>
    <row r="21" customFormat="false" ht="41.75" hidden="false" customHeight="false" outlineLevel="0" collapsed="false">
      <c r="A21" s="19" t="s">
        <v>179</v>
      </c>
      <c r="B21" s="19" t="s">
        <v>180</v>
      </c>
      <c r="C21" s="19" t="s">
        <v>181</v>
      </c>
    </row>
    <row r="23" customFormat="false" ht="15" hidden="false" customHeight="false" outlineLevel="0" collapsed="false">
      <c r="A23" s="38" t="s">
        <v>182</v>
      </c>
      <c r="B23" s="38"/>
      <c r="C23" s="38"/>
    </row>
    <row r="24" customFormat="false" ht="15" hidden="false" customHeight="false" outlineLevel="0" collapsed="false">
      <c r="A24" s="17" t="s">
        <v>26</v>
      </c>
      <c r="B24" s="17" t="s">
        <v>183</v>
      </c>
      <c r="C24" s="17" t="s">
        <v>184</v>
      </c>
      <c r="D24" s="17" t="s">
        <v>185</v>
      </c>
      <c r="E24" s="17" t="s">
        <v>186</v>
      </c>
    </row>
    <row r="25" customFormat="false" ht="15" hidden="false" customHeight="false" outlineLevel="0" collapsed="false">
      <c r="A25" s="37" t="s">
        <v>18</v>
      </c>
      <c r="B25" s="37" t="s">
        <v>187</v>
      </c>
      <c r="C25" s="37" t="s">
        <v>188</v>
      </c>
      <c r="D25" s="37" t="s">
        <v>189</v>
      </c>
      <c r="E25" s="37" t="s">
        <v>190</v>
      </c>
    </row>
    <row r="26" customFormat="false" ht="15" hidden="false" customHeight="false" outlineLevel="0" collapsed="false">
      <c r="A26" s="37" t="s">
        <v>19</v>
      </c>
      <c r="B26" s="37" t="s">
        <v>191</v>
      </c>
      <c r="C26" s="37" t="s">
        <v>190</v>
      </c>
      <c r="D26" s="37" t="s">
        <v>192</v>
      </c>
      <c r="E26" s="37" t="s">
        <v>192</v>
      </c>
    </row>
    <row r="27" customFormat="false" ht="15" hidden="false" customHeight="false" outlineLevel="0" collapsed="false">
      <c r="A27" s="37" t="s">
        <v>20</v>
      </c>
      <c r="B27" s="37" t="s">
        <v>192</v>
      </c>
      <c r="C27" s="37" t="s">
        <v>193</v>
      </c>
      <c r="D27" s="37" t="s">
        <v>193</v>
      </c>
      <c r="E27" s="37" t="s">
        <v>193</v>
      </c>
    </row>
    <row r="28" customFormat="false" ht="15" hidden="false" customHeight="false" outlineLevel="0" collapsed="false">
      <c r="A28" s="37" t="s">
        <v>86</v>
      </c>
      <c r="B28" s="37" t="s">
        <v>193</v>
      </c>
      <c r="C28" s="37" t="s">
        <v>194</v>
      </c>
      <c r="D28" s="37" t="s">
        <v>195</v>
      </c>
      <c r="E28" s="37" t="s">
        <v>195</v>
      </c>
    </row>
  </sheetData>
  <mergeCells count="4">
    <mergeCell ref="A1:C1"/>
    <mergeCell ref="A8:C8"/>
    <mergeCell ref="A15:C15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2025-11-14T16:22:50Z</dcterms:created>
  <dc:creator>openpyxl</dc:creator>
  <dc:description/>
  <dc:language>en-US</dc:language>
  <cp:lastModifiedBy/>
  <dcterms:modified xsi:type="dcterms:W3CDTF">2025-11-14T16:22:50Z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