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 DASHBOARD" sheetId="1" state="visible" r:id="rId3"/>
    <sheet name="DATA" sheetId="2" state="hidden" r:id="rId4"/>
    <sheet name="ANALYTICS" sheetId="3" state="visible" r:id="rId5"/>
    <sheet name="PROJECT TRACKER" sheetId="4" state="visible" r:id="rId6"/>
    <sheet name="SETTINGS" sheetId="5" state="visible" r:id="rId7"/>
    <sheet name="PENTEST CHECKLIST" sheetId="6" state="visible" r:id="rId8"/>
    <sheet name="EXPORT &amp; TEMPLATES" sheetId="7" state="visible" r:id="rId9"/>
    <sheet name="QUICK REFER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<sst xmlns="http://schemas.openxmlformats.org/spreadsheetml/2006/main" count="338" uniqueCount="200">
  <si>
    <t xml:space="preserve">VULNERABILITY &amp; PENTESTING PROJECT MANAGEMENT</t>
  </si>
  <si>
    <t xml:space="preserve">Last Updated: 2025-11-14 18:50:33</t>
  </si>
  <si>
    <t xml:space="preserve">REAL-TIME KEY PERFORMANCE INDICATORS</t>
  </si>
  <si>
    <t xml:space="preserve">CRITICAL</t>
  </si>
  <si>
    <t xml:space="preserve">HIGH</t>
  </si>
  <si>
    <t xml:space="preserve">MEDIUM</t>
  </si>
  <si>
    <t xml:space="preserve">LOW</t>
  </si>
  <si>
    <t xml:space="preserve">TOTAL ACTIVE</t>
  </si>
  <si>
    <t xml:space="preserve">RESOLVED</t>
  </si>
  <si>
    <t xml:space="preserve">OPEN %</t>
  </si>
  <si>
    <t xml:space="preserve">RESOLUTION RATE</t>
  </si>
  <si>
    <t xml:space="preserve">PROJECT BREAKDOWN</t>
  </si>
  <si>
    <t xml:space="preserve">STATUS DISTRIBUTION</t>
  </si>
  <si>
    <t xml:space="preserve">SLA COMPLIANCE</t>
  </si>
  <si>
    <t xml:space="preserve">RISK METRICS</t>
  </si>
  <si>
    <t xml:space="preserve">Project Type</t>
  </si>
  <si>
    <t xml:space="preserve">Count</t>
  </si>
  <si>
    <t xml:space="preserve">Status</t>
  </si>
  <si>
    <t xml:space="preserve">%</t>
  </si>
  <si>
    <t xml:space="preserve">Priority</t>
  </si>
  <si>
    <t xml:space="preserve">On Track</t>
  </si>
  <si>
    <t xml:space="preserve">At Risk</t>
  </si>
  <si>
    <t xml:space="preserve">Metric</t>
  </si>
  <si>
    <t xml:space="preserve">Value</t>
  </si>
  <si>
    <t xml:space="preserve">Target</t>
  </si>
  <si>
    <t xml:space="preserve">Penetration Test</t>
  </si>
  <si>
    <t xml:space="preserve">Active</t>
  </si>
  <si>
    <t xml:space="preserve">Critical</t>
  </si>
  <si>
    <t xml:space="preserve">Avg CVSS</t>
  </si>
  <si>
    <t xml:space="preserve">7.0</t>
  </si>
  <si>
    <t xml:space="preserve">Vulnerability Assessment</t>
  </si>
  <si>
    <t xml:space="preserve">In Review</t>
  </si>
  <si>
    <t xml:space="preserve">High</t>
  </si>
  <si>
    <t xml:space="preserve">Crit/High</t>
  </si>
  <si>
    <t xml:space="preserve">&lt;5</t>
  </si>
  <si>
    <t xml:space="preserve">Code Review</t>
  </si>
  <si>
    <t xml:space="preserve">Resolved</t>
  </si>
  <si>
    <t xml:space="preserve">Medium</t>
  </si>
  <si>
    <t xml:space="preserve">Fix Rate %</t>
  </si>
  <si>
    <t xml:space="preserve">80%</t>
  </si>
  <si>
    <t xml:space="preserve">Infrastructure Test</t>
  </si>
  <si>
    <t xml:space="preserve">Deferred</t>
  </si>
  <si>
    <t xml:space="preserve">Low</t>
  </si>
  <si>
    <t xml:space="preserve">SLA Compliance %</t>
  </si>
  <si>
    <t xml:space="preserve">95%</t>
  </si>
  <si>
    <t xml:space="preserve">ID</t>
  </si>
  <si>
    <t xml:space="preserve">Project Name</t>
  </si>
  <si>
    <t xml:space="preserve">Description</t>
  </si>
  <si>
    <t xml:space="preserve">Severity</t>
  </si>
  <si>
    <t xml:space="preserve">Finding Type</t>
  </si>
  <si>
    <t xml:space="preserve">Owner</t>
  </si>
  <si>
    <t xml:space="preserve">CVSS Score</t>
  </si>
  <si>
    <t xml:space="preserve">Category</t>
  </si>
  <si>
    <t xml:space="preserve">Status Type</t>
  </si>
  <si>
    <t xml:space="preserve">SLA Status</t>
  </si>
  <si>
    <t xml:space="preserve">Days to Resolve</t>
  </si>
  <si>
    <t xml:space="preserve">Found Date</t>
  </si>
  <si>
    <t xml:space="preserve">Target Date</t>
  </si>
  <si>
    <t xml:space="preserve">F-001</t>
  </si>
  <si>
    <t xml:space="preserve">ACME Corp Web App</t>
  </si>
  <si>
    <t xml:space="preserve">SQL Injection in login form</t>
  </si>
  <si>
    <t xml:space="preserve">Code</t>
  </si>
  <si>
    <t xml:space="preserve">John Smith</t>
  </si>
  <si>
    <t xml:space="preserve">Injection</t>
  </si>
  <si>
    <t xml:space="preserve">F-002</t>
  </si>
  <si>
    <t xml:space="preserve">XSS vulnerability in dashboard</t>
  </si>
  <si>
    <t xml:space="preserve">XSS</t>
  </si>
  <si>
    <t xml:space="preserve">F-003</t>
  </si>
  <si>
    <t xml:space="preserve">TechCorp Infrastructure</t>
  </si>
  <si>
    <t xml:space="preserve">Unpatched SSH service</t>
  </si>
  <si>
    <t xml:space="preserve">Patch</t>
  </si>
  <si>
    <t xml:space="preserve">Jane Doe</t>
  </si>
  <si>
    <t xml:space="preserve">Patch Management</t>
  </si>
  <si>
    <t xml:space="preserve">F-004</t>
  </si>
  <si>
    <t xml:space="preserve">Weak password policy</t>
  </si>
  <si>
    <t xml:space="preserve">Configuration</t>
  </si>
  <si>
    <t xml:space="preserve">Authentication</t>
  </si>
  <si>
    <t xml:space="preserve">F-005</t>
  </si>
  <si>
    <t xml:space="preserve">DevCorp Mobile App</t>
  </si>
  <si>
    <t xml:space="preserve">Hardcoded credentials in source</t>
  </si>
  <si>
    <t xml:space="preserve">Mike Brown</t>
  </si>
  <si>
    <t xml:space="preserve">Credentials</t>
  </si>
  <si>
    <t xml:space="preserve">F-006</t>
  </si>
  <si>
    <t xml:space="preserve">Default credentials on router</t>
  </si>
  <si>
    <t xml:space="preserve">Access Control</t>
  </si>
  <si>
    <t xml:space="preserve">Overdue</t>
  </si>
  <si>
    <t xml:space="preserve">F-007</t>
  </si>
  <si>
    <t xml:space="preserve">CSRF in account settings</t>
  </si>
  <si>
    <t xml:space="preserve">CSRF</t>
  </si>
  <si>
    <t xml:space="preserve">F-008</t>
  </si>
  <si>
    <t xml:space="preserve">TechCorp Network</t>
  </si>
  <si>
    <t xml:space="preserve">Open SMB shares</t>
  </si>
  <si>
    <t xml:space="preserve">Data Exposure</t>
  </si>
  <si>
    <t xml:space="preserve">ADVANCED ANALYTICS &amp; REPORTING</t>
  </si>
  <si>
    <t xml:space="preserve">SEVERITY DISTRIBUTION</t>
  </si>
  <si>
    <t xml:space="preserve">FINDING CATEGORIES</t>
  </si>
  <si>
    <t xml:space="preserve">BY PROJECT TYPE</t>
  </si>
  <si>
    <t xml:space="preserve">KEY METRICS &amp; KPIs</t>
  </si>
  <si>
    <t xml:space="preserve">MONTHLY METRICS</t>
  </si>
  <si>
    <t xml:space="preserve">Total Findings</t>
  </si>
  <si>
    <t xml:space="preserve">📈</t>
  </si>
  <si>
    <t xml:space="preserve">Findings Found</t>
  </si>
  <si>
    <t xml:space="preserve">Critical Count</t>
  </si>
  <si>
    <t xml:space="preserve">📉</t>
  </si>
  <si>
    <t xml:space="preserve">Resolved This Month</t>
  </si>
  <si>
    <t xml:space="preserve">Average CVSS</t>
  </si>
  <si>
    <t xml:space="preserve">Still Active</t>
  </si>
  <si>
    <t xml:space="preserve">Resolution %</t>
  </si>
  <si>
    <t xml:space="preserve">Resolution Rate</t>
  </si>
  <si>
    <t xml:space="preserve">Avg Days to Fix</t>
  </si>
  <si>
    <t xml:space="preserve">SLA On Track %</t>
  </si>
  <si>
    <t xml:space="preserve">CRITICAL &amp; HIGH PRIORITY FINDINGS (Auto-Sorted)</t>
  </si>
  <si>
    <t xml:space="preserve">Project</t>
  </si>
  <si>
    <t xml:space="preserve">CVSS</t>
  </si>
  <si>
    <t xml:space="preserve">SLA</t>
  </si>
  <si>
    <t xml:space="preserve">Days Open</t>
  </si>
  <si>
    <t xml:space="preserve">Action</t>
  </si>
  <si>
    <t xml:space="preserve">PROJECT &amp; ENGAGEMENT TRACKING</t>
  </si>
  <si>
    <t xml:space="preserve">Active Projects</t>
  </si>
  <si>
    <t xml:space="preserve">Project ID</t>
  </si>
  <si>
    <t xml:space="preserve">Type</t>
  </si>
  <si>
    <t xml:space="preserve">Client</t>
  </si>
  <si>
    <t xml:space="preserve">Team Lead</t>
  </si>
  <si>
    <t xml:space="preserve">Start Date</t>
  </si>
  <si>
    <t xml:space="preserve">End Date</t>
  </si>
  <si>
    <t xml:space="preserve">Progress</t>
  </si>
  <si>
    <t xml:space="preserve">P-001</t>
  </si>
  <si>
    <t xml:space="preserve">ACME Corp - Web Application PT</t>
  </si>
  <si>
    <t xml:space="preserve">ACME Corp</t>
  </si>
  <si>
    <t xml:space="preserve">P-002</t>
  </si>
  <si>
    <t xml:space="preserve">TechCorp - Infrastructure VA</t>
  </si>
  <si>
    <t xml:space="preserve">TechCorp</t>
  </si>
  <si>
    <t xml:space="preserve">P-003</t>
  </si>
  <si>
    <t xml:space="preserve">DevCorp - Code Review</t>
  </si>
  <si>
    <t xml:space="preserve">DevCorp</t>
  </si>
  <si>
    <t xml:space="preserve">In Progress</t>
  </si>
  <si>
    <t xml:space="preserve">SYSTEM SETTINGS &amp; REFERENCE</t>
  </si>
  <si>
    <t xml:space="preserve">STATUS LEGEND</t>
  </si>
  <si>
    <t xml:space="preserve">Vulnerability identified &amp; being fixed</t>
  </si>
  <si>
    <t xml:space="preserve">Pending review/approval</t>
  </si>
  <si>
    <t xml:space="preserve">Fixed and verified</t>
  </si>
  <si>
    <t xml:space="preserve">Scheduled for later</t>
  </si>
  <si>
    <t xml:space="preserve">SEVERITY GUIDE</t>
  </si>
  <si>
    <t xml:space="preserve">CVSS: 9.0-10.0</t>
  </si>
  <si>
    <t xml:space="preserve">SLA: 24 hours</t>
  </si>
  <si>
    <t xml:space="preserve">CVSS: 7.0-8.9</t>
  </si>
  <si>
    <t xml:space="preserve">SLA: 3-5 days</t>
  </si>
  <si>
    <t xml:space="preserve">CVSS: 4.0-6.9</t>
  </si>
  <si>
    <t xml:space="preserve">SLA: 2-4 weeks</t>
  </si>
  <si>
    <t xml:space="preserve">CVSS: 0.1-3.9</t>
  </si>
  <si>
    <t xml:space="preserve">SLA: 1-3 months</t>
  </si>
  <si>
    <t xml:space="preserve">PENETRATION TESTING METHODOLOGY &amp; CHECKLIST</t>
  </si>
  <si>
    <t xml:space="preserve">OWASP TOP 10 TESTING COVERAGE</t>
  </si>
  <si>
    <t xml:space="preserve">TESTING PHASES</t>
  </si>
  <si>
    <t xml:space="preserve">A1: Broken Access Control</t>
  </si>
  <si>
    <t xml:space="preserve">☐ Test</t>
  </si>
  <si>
    <t xml:space="preserve">☐ Found</t>
  </si>
  <si>
    <t xml:space="preserve">Reconnaissance</t>
  </si>
  <si>
    <t xml:space="preserve">✓</t>
  </si>
  <si>
    <t xml:space="preserve">A2: Cryptographic Failures</t>
  </si>
  <si>
    <t xml:space="preserve">Scanning</t>
  </si>
  <si>
    <t xml:space="preserve">A3: Injection</t>
  </si>
  <si>
    <t xml:space="preserve">Enumeration</t>
  </si>
  <si>
    <t xml:space="preserve">○</t>
  </si>
  <si>
    <t xml:space="preserve">A4: Insecure Design</t>
  </si>
  <si>
    <t xml:space="preserve">Exploitation</t>
  </si>
  <si>
    <t xml:space="preserve">A5: Security Misconfiguration</t>
  </si>
  <si>
    <t xml:space="preserve">Reporting</t>
  </si>
  <si>
    <t xml:space="preserve">A6: Vulnerable Components</t>
  </si>
  <si>
    <t xml:space="preserve">A7: Authentication Failures</t>
  </si>
  <si>
    <t xml:space="preserve">A8: Data Integrity Failures</t>
  </si>
  <si>
    <t xml:space="preserve">A9: Logging &amp; Monitoring</t>
  </si>
  <si>
    <t xml:space="preserve">A10: SSRF</t>
  </si>
  <si>
    <t xml:space="preserve">REPORT GENERATION &amp; EXPORT</t>
  </si>
  <si>
    <t xml:space="preserve">QUICK EXPORT FORMULAS</t>
  </si>
  <si>
    <t xml:space="preserve">Copy to PowerPoint</t>
  </si>
  <si>
    <t xml:space="preserve">For Executive Summary</t>
  </si>
  <si>
    <t xml:space="preserve">High Issues</t>
  </si>
  <si>
    <t xml:space="preserve">For Risk Assessment</t>
  </si>
  <si>
    <t xml:space="preserve">Overall Risk Score</t>
  </si>
  <si>
    <t xml:space="preserve">Resolution Rate %</t>
  </si>
  <si>
    <t xml:space="preserve">Show Progress</t>
  </si>
  <si>
    <t xml:space="preserve">Compliance Metric</t>
  </si>
  <si>
    <t xml:space="preserve">QUICK REFERENCE GUIDE</t>
  </si>
  <si>
    <t xml:space="preserve">DASHBOARD TAB GUIDE</t>
  </si>
  <si>
    <t xml:space="preserve">MASTER DASHBOARD</t>
  </si>
  <si>
    <t xml:space="preserve">Real-time KPIs, Status, SLA, Risk metrics - START HERE</t>
  </si>
  <si>
    <t xml:space="preserve">ANALYTICS</t>
  </si>
  <si>
    <t xml:space="preserve">Detailed analysis, trends, monthly metrics, top findings</t>
  </si>
  <si>
    <t xml:space="preserve">PROJECT TRACKER</t>
  </si>
  <si>
    <t xml:space="preserve">Active projects, engagement tracking, team assignments</t>
  </si>
  <si>
    <t xml:space="preserve">PENTEST CHECKLIST</t>
  </si>
  <si>
    <t xml:space="preserve">OWASP Top 10, testing phases, methodology</t>
  </si>
  <si>
    <t xml:space="preserve">EXPORT &amp; TEMPLATES</t>
  </si>
  <si>
    <t xml:space="preserve">Report templates, quick reference data</t>
  </si>
  <si>
    <t xml:space="preserve">SETTINGS</t>
  </si>
  <si>
    <t xml:space="preserve">Legend, definitions, severity guide</t>
  </si>
  <si>
    <t xml:space="preserve">KEY FORMULAS</t>
  </si>
  <si>
    <t xml:space="preserve">Auto-calculates On Track/At Risk/Overdue</t>
  </si>
  <si>
    <t xml:space="preserve">Monthly Trends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</si>
</sst>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yyyy\-mm\-dd"/>
    <numFmt numFmtId="168" formatCode="0.0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2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66"/>
      </patternFill>
    </fill>
    <fill>
      <patternFill patternType="solid">
        <fgColor rgb="FFC00000"/>
        <bgColor rgb="FF800000"/>
      </patternFill>
    </fill>
    <fill>
      <patternFill patternType="solid">
        <fgColor rgb="FFFF6600"/>
        <bgColor rgb="FFFF9900"/>
      </patternFill>
    </fill>
    <fill>
      <patternFill patternType="solid">
        <fgColor rgb="FFFFD966"/>
        <bgColor rgb="FFFFCC00"/>
      </patternFill>
    </fill>
    <fill>
      <patternFill patternType="solid">
        <fgColor rgb="FF70AD47"/>
        <bgColor rgb="FF99CC00"/>
      </patternFill>
    </fill>
    <fill>
      <patternFill patternType="solid">
        <fgColor rgb="FF00B050"/>
        <bgColor rgb="FF008080"/>
      </patternFill>
    </fill>
    <fill>
      <patternFill patternType="solid">
        <fgColor rgb="FFFFC7CE"/>
        <bgColor rgb="FFCCCCF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6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4.75" hidden="false" customHeight="true" outlineLevel="0" collapsed="false">
      <c r="A5" s="5" t="s">
        <v>3</v>
      </c>
      <c r="B5" s="6" t="s">
        <v>4</v>
      </c>
      <c r="C5" s="7" t="s">
        <v>5</v>
      </c>
      <c r="D5" s="8" t="s">
        <v>6</v>
      </c>
      <c r="E5" s="9" t="s">
        <v>7</v>
      </c>
      <c r="F5" s="10" t="s">
        <v>8</v>
      </c>
      <c r="G5" s="11" t="s">
        <v>9</v>
      </c>
      <c r="H5" s="9" t="s">
        <v>10</v>
      </c>
    </row>
    <row r="6" customFormat="false" ht="34.5" hidden="false" customHeight="true" outlineLevel="0" collapsed="false">
      <c r="A6" s="12" t="n">
        <f aca="false">COUNTIFS(DATA!$E:$E,"Critical",DATA!$J:$J,"Active")</f>
        <v>2</v>
      </c>
      <c r="B6" s="13" t="n">
        <f aca="false">COUNTIFS(DATA!$E:$E,"High",DATA!$J:$J,"Active")</f>
        <v>2</v>
      </c>
      <c r="C6" s="14" t="n">
        <f aca="false">COUNTIFS(DATA!$E:$E,"Medium",DATA!$J:$J,"Active")</f>
        <v>1</v>
      </c>
      <c r="D6" s="15" t="n">
        <f aca="false">COUNTIFS(DATA!$E:$E,"Low",DATA!$J:$J,"Active")</f>
        <v>0</v>
      </c>
      <c r="E6" s="16" t="n">
        <f aca="false">COUNTIF(DATA!$J:$J,"Active")</f>
        <v>5</v>
      </c>
      <c r="F6" s="17" t="n">
        <f aca="false">COUNTIF(DATA!$J:$J,"Resolved")</f>
        <v>1</v>
      </c>
      <c r="G6" s="18" t="n">
        <f aca="false">IF(COUNTA(DATA!$A$2:$A$100)=0,0,COUNTIF(DATA!$J:$J,"Active")/COUNTA(DATA!$A$2:$A$100))</f>
        <v>0.625</v>
      </c>
      <c r="H6" s="19" t="n">
        <f aca="false">IF(COUNTA(DATA!$A$2:$A$100)=0,0,COUNTIF(DATA!$J:$J,"Resolved")/COUNTA(DATA!$A$2:$A$100))</f>
        <v>0.125</v>
      </c>
    </row>
    <row r="8" customFormat="false" ht="15" hidden="false" customHeight="true" outlineLevel="0" collapsed="false">
      <c r="A8" s="20" t="s">
        <v>11</v>
      </c>
      <c r="B8" s="20"/>
      <c r="C8" s="20"/>
      <c r="D8" s="20" t="s">
        <v>12</v>
      </c>
      <c r="E8" s="20"/>
      <c r="F8" s="20"/>
      <c r="G8" s="20" t="s">
        <v>13</v>
      </c>
      <c r="H8" s="20"/>
      <c r="I8" s="20"/>
      <c r="J8" s="20" t="s">
        <v>14</v>
      </c>
      <c r="K8" s="20"/>
      <c r="L8" s="20"/>
    </row>
    <row r="9" customFormat="false" ht="15" hidden="false" customHeight="true" outlineLevel="0" collapsed="false">
      <c r="A9" s="21" t="s">
        <v>15</v>
      </c>
      <c r="B9" s="21" t="s">
        <v>16</v>
      </c>
      <c r="C9" s="21" t="s">
        <v>17</v>
      </c>
      <c r="D9" s="21" t="s">
        <v>17</v>
      </c>
      <c r="E9" s="21" t="s">
        <v>16</v>
      </c>
      <c r="F9" s="21" t="s">
        <v>18</v>
      </c>
      <c r="G9" s="21" t="s">
        <v>19</v>
      </c>
      <c r="H9" s="21" t="s">
        <v>20</v>
      </c>
      <c r="I9" s="21" t="s">
        <v>21</v>
      </c>
      <c r="J9" s="21" t="s">
        <v>22</v>
      </c>
      <c r="K9" s="21" t="s">
        <v>23</v>
      </c>
      <c r="L9" s="21" t="s">
        <v>24</v>
      </c>
    </row>
    <row r="10" customFormat="false" ht="15" hidden="false" customHeight="true" outlineLevel="0" collapsed="false">
      <c r="A10" s="22" t="s">
        <v>25</v>
      </c>
      <c r="B10" s="23" t="n">
        <f aca="false">COUNTIF(DATA!$B:$B,"Penetration Test")</f>
        <v>4</v>
      </c>
      <c r="C10" s="23" t="str">
        <f aca="false">IF(B10&gt;0,IF(COUNTIFS(DATA!$B:$B,"Penetration Test",DATA!$J:$J,"Resolved")=B10,"✓ Complete","⚠ Active"),"-")</f>
        <v>⚠ Active</v>
      </c>
      <c r="D10" s="24" t="s">
        <v>26</v>
      </c>
      <c r="E10" s="23" t="n">
        <f aca="false">COUNTIF(DATA!$J:$J,"Active")</f>
        <v>5</v>
      </c>
      <c r="F10" s="25" t="n">
        <f aca="false">IF(SUM($E$10:$E$13)=0,0,E10/SUM($E$10:$E$13))</f>
        <v>0.625</v>
      </c>
      <c r="G10" s="23" t="s">
        <v>27</v>
      </c>
      <c r="H10" s="23" t="n">
        <f aca="false">COUNTIFS(DATA!$E:$E,"Critical",DATA!$L:$L,"On Track")</f>
        <v>2</v>
      </c>
      <c r="I10" s="23" t="n">
        <f aca="false">COUNTIFS(DATA!$E:$E,"Critical",DATA!$L:$L,"At Risk")</f>
        <v>0</v>
      </c>
      <c r="J10" s="1" t="s">
        <v>28</v>
      </c>
      <c r="K10" s="23" t="n">
        <f aca="false">IF(COUNTA(DATA!$H:$H)=0,0,AVERAGE(DATA!$H:$H))</f>
        <v>7.9</v>
      </c>
      <c r="L10" s="23" t="s">
        <v>29</v>
      </c>
    </row>
    <row r="11" customFormat="false" ht="15" hidden="false" customHeight="true" outlineLevel="0" collapsed="false">
      <c r="A11" s="22" t="s">
        <v>30</v>
      </c>
      <c r="B11" s="23" t="n">
        <f aca="false">COUNTIF(DATA!$B:$B,"Vulnerability Assessment")</f>
        <v>2</v>
      </c>
      <c r="C11" s="23" t="str">
        <f aca="false">IF(B11&gt;0,IF(COUNTIFS(DATA!$B:$B,"Vulnerability Assessment",DATA!$J:$J,"Resolved")=B11,"✓ Complete","⚠ Active"),"-")</f>
        <v>⚠ Active</v>
      </c>
      <c r="D11" s="26" t="s">
        <v>31</v>
      </c>
      <c r="E11" s="23" t="n">
        <f aca="false">COUNTIF(DATA!$J:$J,"In Review")</f>
        <v>1</v>
      </c>
      <c r="F11" s="25" t="n">
        <f aca="false">IF(SUM($E$10:$E$13)=0,0,E11/SUM($E$10:$E$13))</f>
        <v>0.125</v>
      </c>
      <c r="G11" s="23" t="s">
        <v>32</v>
      </c>
      <c r="H11" s="23" t="n">
        <f aca="false">COUNTIFS(DATA!$E:$E,"High",DATA!$L:$L,"On Track")</f>
        <v>2</v>
      </c>
      <c r="I11" s="23" t="n">
        <f aca="false">COUNTIFS(DATA!$E:$E,"High",DATA!$L:$L,"At Risk")</f>
        <v>1</v>
      </c>
      <c r="J11" s="1" t="s">
        <v>33</v>
      </c>
      <c r="K11" s="23" t="n">
        <f aca="false">COUNTIF(DATA!$E:$E,"Critical")+COUNTIF(DATA!$E:$E,"High")</f>
        <v>6</v>
      </c>
      <c r="L11" s="23" t="s">
        <v>34</v>
      </c>
    </row>
    <row r="12" customFormat="false" ht="15" hidden="false" customHeight="true" outlineLevel="0" collapsed="false">
      <c r="A12" s="22" t="s">
        <v>35</v>
      </c>
      <c r="B12" s="23" t="n">
        <f aca="false">COUNTIF(DATA!$B:$B,"Code Review")</f>
        <v>1</v>
      </c>
      <c r="C12" s="23" t="str">
        <f aca="false">IF(B12&gt;0,IF(COUNTIFS(DATA!$B:$B,"Code Review",DATA!$J:$J,"Resolved")=B12,"✓ Complete","⚠ Active"),"-")</f>
        <v>✓ Complete</v>
      </c>
      <c r="D12" s="27" t="s">
        <v>36</v>
      </c>
      <c r="E12" s="23" t="n">
        <f aca="false">COUNTIF(DATA!$J:$J,"Resolved")</f>
        <v>1</v>
      </c>
      <c r="F12" s="25" t="n">
        <f aca="false">IF(SUM($E$10:$E$13)=0,0,E12/SUM($E$10:$E$13))</f>
        <v>0.125</v>
      </c>
      <c r="G12" s="23" t="s">
        <v>37</v>
      </c>
      <c r="H12" s="23" t="n">
        <f aca="false">COUNTIFS(DATA!$E:$E,"Medium",DATA!$L:$L,"On Track")</f>
        <v>2</v>
      </c>
      <c r="I12" s="23" t="n">
        <f aca="false">COUNTIFS(DATA!$E:$E,"Medium",DATA!$L:$L,"At Risk")</f>
        <v>0</v>
      </c>
      <c r="J12" s="1" t="s">
        <v>38</v>
      </c>
      <c r="K12" s="25" t="n">
        <f aca="false">IF(COUNTA(DATA!$A$2:$A$100)=0,0,COUNTIF(DATA!$J:$J,"Resolved")/COUNTA(DATA!$A$2:$A$100))</f>
        <v>0.125</v>
      </c>
      <c r="L12" s="23" t="s">
        <v>39</v>
      </c>
    </row>
    <row r="13" customFormat="false" ht="15" hidden="false" customHeight="true" outlineLevel="0" collapsed="false">
      <c r="A13" s="22" t="s">
        <v>40</v>
      </c>
      <c r="B13" s="23" t="n">
        <f aca="false">COUNTIF(DATA!$B:$B,"Infrastructure Test")</f>
        <v>1</v>
      </c>
      <c r="C13" s="23" t="str">
        <f aca="false">IF(B13&gt;0,IF(COUNTIFS(DATA!$B:$B,"Infrastructure Test",DATA!$J:$J,"Resolved")=B13,"✓ Complete","⚠ Active"),"-")</f>
        <v>⚠ Active</v>
      </c>
      <c r="D13" s="28" t="s">
        <v>41</v>
      </c>
      <c r="E13" s="23" t="n">
        <f aca="false">COUNTIF(DATA!$J:$J,"Deferred")</f>
        <v>1</v>
      </c>
      <c r="F13" s="25" t="n">
        <f aca="false">IF(SUM($E$10:$E$13)=0,0,E13/SUM($E$10:$E$13))</f>
        <v>0.125</v>
      </c>
      <c r="G13" s="23" t="s">
        <v>42</v>
      </c>
      <c r="H13" s="23" t="n">
        <f aca="false">COUNTIFS(DATA!$E:$E,"Low",DATA!$L:$L,"On Track")</f>
        <v>0</v>
      </c>
      <c r="I13" s="23" t="n">
        <f aca="false">COUNTIFS(DATA!$E:$E,"Low",DATA!$L:$L,"At Risk")</f>
        <v>0</v>
      </c>
      <c r="J13" s="1" t="s">
        <v>43</v>
      </c>
      <c r="K13" s="25" t="n">
        <f aca="false">IF(COUNTA(DATA!$L$2:$L$100)=0,0,COUNTIF(DATA!$L:$L,"On Track")/COUNTA(DATA!$L$2:$L$100))</f>
        <v>0.75</v>
      </c>
      <c r="L13" s="23" t="s">
        <v>44</v>
      </c>
    </row>
  </sheetData>
  <mergeCells count="7">
    <mergeCell ref="A1:L1"/>
    <mergeCell ref="A2:L2"/>
    <mergeCell ref="A4:L4"/>
    <mergeCell ref="A8:C8"/>
    <mergeCell ref="D8:F8"/>
    <mergeCell ref="G8:I8"/>
    <mergeCell ref="J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8" min="5" style="1" width="12"/>
    <col collapsed="false" customWidth="true" hidden="false" outlineLevel="0" max="9" min="9" style="1" width="15"/>
    <col collapsed="false" customWidth="true" hidden="false" outlineLevel="0" max="13" min="10" style="1" width="12"/>
    <col collapsed="false" customWidth="true" hidden="false" outlineLevel="0" max="15" min="14" style="1" width="15"/>
  </cols>
  <sheetData>
    <row r="1" customFormat="false" ht="30" hidden="false" customHeight="true" outlineLevel="0" collapsed="false">
      <c r="A1" s="29" t="s">
        <v>45</v>
      </c>
      <c r="B1" s="29" t="s">
        <v>15</v>
      </c>
      <c r="C1" s="29" t="s">
        <v>46</v>
      </c>
      <c r="D1" s="29" t="s">
        <v>47</v>
      </c>
      <c r="E1" s="29" t="s">
        <v>48</v>
      </c>
      <c r="F1" s="29" t="s">
        <v>49</v>
      </c>
      <c r="G1" s="29" t="s">
        <v>50</v>
      </c>
      <c r="H1" s="29" t="s">
        <v>51</v>
      </c>
      <c r="I1" s="29" t="s">
        <v>52</v>
      </c>
      <c r="J1" s="29" t="s">
        <v>17</v>
      </c>
      <c r="K1" s="29" t="s">
        <v>53</v>
      </c>
      <c r="L1" s="29" t="s">
        <v>54</v>
      </c>
      <c r="M1" s="29" t="s">
        <v>55</v>
      </c>
      <c r="N1" s="29" t="s">
        <v>56</v>
      </c>
      <c r="O1" s="29" t="s">
        <v>57</v>
      </c>
    </row>
    <row r="2" customFormat="false" ht="15" hidden="false" customHeight="true" outlineLevel="0" collapsed="false">
      <c r="A2" s="30" t="s">
        <v>58</v>
      </c>
      <c r="B2" s="30" t="s">
        <v>25</v>
      </c>
      <c r="C2" s="30" t="s">
        <v>59</v>
      </c>
      <c r="D2" s="30" t="s">
        <v>60</v>
      </c>
      <c r="E2" s="31" t="s">
        <v>27</v>
      </c>
      <c r="F2" s="30" t="s">
        <v>61</v>
      </c>
      <c r="G2" s="30" t="s">
        <v>62</v>
      </c>
      <c r="H2" s="30" t="n">
        <v>9.8</v>
      </c>
      <c r="I2" s="30" t="s">
        <v>63</v>
      </c>
      <c r="J2" s="31" t="s">
        <v>26</v>
      </c>
      <c r="K2" s="30" t="s">
        <v>26</v>
      </c>
      <c r="L2" s="32" t="s">
        <v>20</v>
      </c>
      <c r="M2" s="30" t="n">
        <v>5</v>
      </c>
      <c r="N2" s="33" t="n">
        <v>45965.7851044445</v>
      </c>
      <c r="O2" s="33" t="n">
        <v>45980.7851044445</v>
      </c>
    </row>
    <row r="3" customFormat="false" ht="27.75" hidden="false" customHeight="true" outlineLevel="0" collapsed="false">
      <c r="A3" s="30" t="s">
        <v>64</v>
      </c>
      <c r="B3" s="30" t="s">
        <v>25</v>
      </c>
      <c r="C3" s="30" t="s">
        <v>59</v>
      </c>
      <c r="D3" s="30" t="s">
        <v>65</v>
      </c>
      <c r="E3" s="34" t="s">
        <v>32</v>
      </c>
      <c r="F3" s="30" t="s">
        <v>61</v>
      </c>
      <c r="G3" s="30" t="s">
        <v>62</v>
      </c>
      <c r="H3" s="30" t="n">
        <v>7.5</v>
      </c>
      <c r="I3" s="30" t="s">
        <v>66</v>
      </c>
      <c r="J3" s="31" t="s">
        <v>26</v>
      </c>
      <c r="K3" s="30" t="s">
        <v>26</v>
      </c>
      <c r="L3" s="35" t="s">
        <v>21</v>
      </c>
      <c r="M3" s="30" t="n">
        <v>2</v>
      </c>
      <c r="N3" s="33" t="n">
        <v>45967.7851044445</v>
      </c>
      <c r="O3" s="33" t="n">
        <v>45977.7851044445</v>
      </c>
    </row>
    <row r="4" customFormat="false" ht="27.75" hidden="false" customHeight="true" outlineLevel="0" collapsed="false">
      <c r="A4" s="30" t="s">
        <v>67</v>
      </c>
      <c r="B4" s="30" t="s">
        <v>30</v>
      </c>
      <c r="C4" s="30" t="s">
        <v>68</v>
      </c>
      <c r="D4" s="30" t="s">
        <v>69</v>
      </c>
      <c r="E4" s="34" t="s">
        <v>32</v>
      </c>
      <c r="F4" s="30" t="s">
        <v>70</v>
      </c>
      <c r="G4" s="30" t="s">
        <v>71</v>
      </c>
      <c r="H4" s="30" t="n">
        <v>8.1</v>
      </c>
      <c r="I4" s="30" t="s">
        <v>72</v>
      </c>
      <c r="J4" s="31" t="s">
        <v>26</v>
      </c>
      <c r="K4" s="30" t="s">
        <v>26</v>
      </c>
      <c r="L4" s="32" t="s">
        <v>20</v>
      </c>
      <c r="M4" s="30" t="n">
        <v>10</v>
      </c>
      <c r="N4" s="33" t="n">
        <v>45970.7851044445</v>
      </c>
      <c r="O4" s="33" t="n">
        <v>45985.7851044445</v>
      </c>
    </row>
    <row r="5" customFormat="false" ht="27.75" hidden="false" customHeight="true" outlineLevel="0" collapsed="false">
      <c r="A5" s="30" t="s">
        <v>73</v>
      </c>
      <c r="B5" s="30" t="s">
        <v>25</v>
      </c>
      <c r="C5" s="30" t="s">
        <v>59</v>
      </c>
      <c r="D5" s="30" t="s">
        <v>74</v>
      </c>
      <c r="E5" s="36" t="s">
        <v>37</v>
      </c>
      <c r="F5" s="30" t="s">
        <v>75</v>
      </c>
      <c r="G5" s="30" t="s">
        <v>62</v>
      </c>
      <c r="H5" s="30" t="n">
        <v>5.3</v>
      </c>
      <c r="I5" s="30" t="s">
        <v>76</v>
      </c>
      <c r="J5" s="34" t="s">
        <v>31</v>
      </c>
      <c r="K5" s="30" t="s">
        <v>31</v>
      </c>
      <c r="L5" s="32" t="s">
        <v>20</v>
      </c>
      <c r="M5" s="30" t="n">
        <v>8</v>
      </c>
      <c r="N5" s="33" t="n">
        <v>45963.7851044445</v>
      </c>
      <c r="O5" s="33" t="n">
        <v>45983.7851044445</v>
      </c>
    </row>
    <row r="6" customFormat="false" ht="27.75" hidden="false" customHeight="true" outlineLevel="0" collapsed="false">
      <c r="A6" s="30" t="s">
        <v>77</v>
      </c>
      <c r="B6" s="30" t="s">
        <v>35</v>
      </c>
      <c r="C6" s="30" t="s">
        <v>78</v>
      </c>
      <c r="D6" s="30" t="s">
        <v>79</v>
      </c>
      <c r="E6" s="31" t="s">
        <v>27</v>
      </c>
      <c r="F6" s="30" t="s">
        <v>61</v>
      </c>
      <c r="G6" s="30" t="s">
        <v>80</v>
      </c>
      <c r="H6" s="30" t="n">
        <v>9</v>
      </c>
      <c r="I6" s="30" t="s">
        <v>81</v>
      </c>
      <c r="J6" s="32" t="s">
        <v>36</v>
      </c>
      <c r="K6" s="30" t="s">
        <v>36</v>
      </c>
      <c r="L6" s="32" t="s">
        <v>20</v>
      </c>
      <c r="M6" s="30" t="n">
        <v>3</v>
      </c>
      <c r="N6" s="33" t="n">
        <v>45945.7851044445</v>
      </c>
      <c r="O6" s="33" t="n">
        <v>45948.7851044445</v>
      </c>
    </row>
    <row r="7" customFormat="false" ht="27.75" hidden="false" customHeight="true" outlineLevel="0" collapsed="false">
      <c r="A7" s="30" t="s">
        <v>82</v>
      </c>
      <c r="B7" s="30" t="s">
        <v>30</v>
      </c>
      <c r="C7" s="30" t="s">
        <v>68</v>
      </c>
      <c r="D7" s="30" t="s">
        <v>83</v>
      </c>
      <c r="E7" s="31" t="s">
        <v>27</v>
      </c>
      <c r="F7" s="30" t="s">
        <v>75</v>
      </c>
      <c r="G7" s="30" t="s">
        <v>71</v>
      </c>
      <c r="H7" s="30" t="n">
        <v>9.2</v>
      </c>
      <c r="I7" s="30" t="s">
        <v>84</v>
      </c>
      <c r="J7" s="31" t="s">
        <v>26</v>
      </c>
      <c r="K7" s="30" t="s">
        <v>26</v>
      </c>
      <c r="L7" s="31" t="s">
        <v>85</v>
      </c>
      <c r="M7" s="30" t="n">
        <v>15</v>
      </c>
      <c r="N7" s="33" t="n">
        <v>45960.7851044445</v>
      </c>
      <c r="O7" s="33" t="n">
        <v>45972.7851044445</v>
      </c>
    </row>
    <row r="8" customFormat="false" ht="15" hidden="false" customHeight="true" outlineLevel="0" collapsed="false">
      <c r="A8" s="30" t="s">
        <v>86</v>
      </c>
      <c r="B8" s="30" t="s">
        <v>25</v>
      </c>
      <c r="C8" s="30" t="s">
        <v>59</v>
      </c>
      <c r="D8" s="30" t="s">
        <v>87</v>
      </c>
      <c r="E8" s="36" t="s">
        <v>37</v>
      </c>
      <c r="F8" s="30" t="s">
        <v>61</v>
      </c>
      <c r="G8" s="30" t="s">
        <v>62</v>
      </c>
      <c r="H8" s="30" t="n">
        <v>6.5</v>
      </c>
      <c r="I8" s="30" t="s">
        <v>88</v>
      </c>
      <c r="J8" s="31" t="s">
        <v>26</v>
      </c>
      <c r="K8" s="30" t="s">
        <v>26</v>
      </c>
      <c r="L8" s="32" t="s">
        <v>20</v>
      </c>
      <c r="M8" s="30" t="n">
        <v>4</v>
      </c>
      <c r="N8" s="33" t="n">
        <v>45969.7851044445</v>
      </c>
      <c r="O8" s="33" t="n">
        <v>45979.7851044445</v>
      </c>
    </row>
    <row r="9" customFormat="false" ht="27.75" hidden="false" customHeight="true" outlineLevel="0" collapsed="false">
      <c r="A9" s="30" t="s">
        <v>89</v>
      </c>
      <c r="B9" s="30" t="s">
        <v>40</v>
      </c>
      <c r="C9" s="30" t="s">
        <v>90</v>
      </c>
      <c r="D9" s="30" t="s">
        <v>91</v>
      </c>
      <c r="E9" s="34" t="s">
        <v>32</v>
      </c>
      <c r="F9" s="30" t="s">
        <v>75</v>
      </c>
      <c r="G9" s="30" t="s">
        <v>71</v>
      </c>
      <c r="H9" s="30" t="n">
        <v>7.8</v>
      </c>
      <c r="I9" s="30" t="s">
        <v>92</v>
      </c>
      <c r="J9" s="36" t="s">
        <v>41</v>
      </c>
      <c r="K9" s="30" t="s">
        <v>41</v>
      </c>
      <c r="L9" s="32" t="s">
        <v>20</v>
      </c>
      <c r="M9" s="30" t="n">
        <v>40</v>
      </c>
      <c r="N9" s="33" t="n">
        <v>45955.7851044445</v>
      </c>
      <c r="O9" s="33" t="n">
        <v>46015.7851044445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8"/>
  </cols>
  <sheetData>
    <row r="1" customFormat="false" ht="30" hidden="false" customHeight="true" outlineLevel="0" collapsed="false">
      <c r="A1" s="37" t="s">
        <v>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3" customFormat="false" ht="15" hidden="false" customHeight="true" outlineLevel="0" collapsed="false">
      <c r="A3" s="38" t="s">
        <v>94</v>
      </c>
      <c r="B3" s="38"/>
      <c r="C3" s="38"/>
      <c r="E3" s="38" t="s">
        <v>95</v>
      </c>
      <c r="F3" s="38"/>
      <c r="G3" s="38"/>
      <c r="I3" s="38" t="s">
        <v>96</v>
      </c>
      <c r="J3" s="38"/>
      <c r="K3" s="38"/>
    </row>
    <row r="4" customFormat="false" ht="15" hidden="false" customHeight="true" outlineLevel="0" collapsed="false">
      <c r="A4" s="24" t="s">
        <v>27</v>
      </c>
      <c r="B4" s="23" t="n">
        <f aca="false">COUNTIF(DATA!$E:$E,"Critical")</f>
        <v>3</v>
      </c>
      <c r="C4" s="25" t="n">
        <f aca="false">IF(SUM($B$4:$B$7)=0,0,B4/SUM($B$4:$B$7))</f>
        <v>0.375</v>
      </c>
      <c r="E4" s="23" t="s">
        <v>63</v>
      </c>
      <c r="F4" s="23" t="n">
        <f aca="false">COUNTIF(DATA!$I:$I,"Injection")</f>
        <v>1</v>
      </c>
      <c r="G4" s="25" t="n">
        <f aca="false">IF(SUM($F$4:$F$11)=0,0,F4/SUM($F$4:$F$11))</f>
        <v>0.142857142857143</v>
      </c>
      <c r="I4" s="23" t="s">
        <v>25</v>
      </c>
      <c r="J4" s="23" t="n">
        <f aca="false">COUNTIF(DATA!$B:$B,"Penetration Test")</f>
        <v>4</v>
      </c>
      <c r="K4" s="23" t="n">
        <f aca="false">COUNTIFS(DATA!$B:$B,"Penetration Test",DATA!$J:$J,"Resolved")</f>
        <v>0</v>
      </c>
    </row>
    <row r="5" customFormat="false" ht="15" hidden="false" customHeight="true" outlineLevel="0" collapsed="false">
      <c r="A5" s="26" t="s">
        <v>32</v>
      </c>
      <c r="B5" s="23" t="n">
        <f aca="false">COUNTIF(DATA!$E:$E,"High")</f>
        <v>3</v>
      </c>
      <c r="C5" s="25" t="n">
        <f aca="false">IF(SUM($B$4:$B$7)=0,0,B5/SUM($B$4:$B$7))</f>
        <v>0.375</v>
      </c>
      <c r="E5" s="23" t="s">
        <v>66</v>
      </c>
      <c r="F5" s="23" t="n">
        <f aca="false">COUNTIF(DATA!$I:$I,"XSS")</f>
        <v>1</v>
      </c>
      <c r="G5" s="25" t="n">
        <f aca="false">IF(SUM($F$4:$F$11)=0,0,F5/SUM($F$4:$F$11))</f>
        <v>0.142857142857143</v>
      </c>
      <c r="I5" s="23" t="s">
        <v>30</v>
      </c>
      <c r="J5" s="23" t="n">
        <f aca="false">COUNTIF(DATA!$B:$B,"Vulnerability Assessment")</f>
        <v>2</v>
      </c>
      <c r="K5" s="23" t="n">
        <f aca="false">COUNTIFS(DATA!$B:$B,"Vulnerability Assessment",DATA!$J:$J,"Resolved")</f>
        <v>0</v>
      </c>
    </row>
    <row r="6" customFormat="false" ht="15" hidden="false" customHeight="true" outlineLevel="0" collapsed="false">
      <c r="A6" s="39" t="s">
        <v>37</v>
      </c>
      <c r="B6" s="23" t="n">
        <f aca="false">COUNTIF(DATA!$E:$E,"Medium")</f>
        <v>2</v>
      </c>
      <c r="C6" s="25" t="n">
        <f aca="false">IF(SUM($B$4:$B$7)=0,0,B6/SUM($B$4:$B$7))</f>
        <v>0.25</v>
      </c>
      <c r="E6" s="23" t="s">
        <v>76</v>
      </c>
      <c r="F6" s="23" t="n">
        <f aca="false">COUNTIF(DATA!$I:$I,"Authentication")</f>
        <v>1</v>
      </c>
      <c r="G6" s="25" t="n">
        <f aca="false">IF(SUM($F$4:$F$11)=0,0,F6/SUM($F$4:$F$11))</f>
        <v>0.142857142857143</v>
      </c>
      <c r="I6" s="23" t="s">
        <v>35</v>
      </c>
      <c r="J6" s="23" t="n">
        <f aca="false">COUNTIF(DATA!$B:$B,"Code Review")</f>
        <v>1</v>
      </c>
      <c r="K6" s="23" t="n">
        <f aca="false">COUNTIFS(DATA!$B:$B,"Code Review",DATA!$J:$J,"Resolved")</f>
        <v>1</v>
      </c>
    </row>
    <row r="7" customFormat="false" ht="15" hidden="false" customHeight="true" outlineLevel="0" collapsed="false">
      <c r="A7" s="40" t="s">
        <v>42</v>
      </c>
      <c r="B7" s="23" t="n">
        <f aca="false">COUNTIF(DATA!$E:$E,"Low")</f>
        <v>0</v>
      </c>
      <c r="C7" s="25" t="n">
        <f aca="false">IF(SUM($B$4:$B$7)=0,0,B7/SUM($B$4:$B$7))</f>
        <v>0</v>
      </c>
      <c r="E7" s="23" t="s">
        <v>72</v>
      </c>
      <c r="F7" s="23" t="n">
        <f aca="false">COUNTIF(DATA!$I:$I,"Patch Management")</f>
        <v>1</v>
      </c>
      <c r="G7" s="25" t="n">
        <f aca="false">IF(SUM($F$4:$F$11)=0,0,F7/SUM($F$4:$F$11))</f>
        <v>0.142857142857143</v>
      </c>
      <c r="I7" s="23" t="s">
        <v>40</v>
      </c>
      <c r="J7" s="23" t="n">
        <f aca="false">COUNTIF(DATA!$B:$B,"Infrastructure Test")</f>
        <v>1</v>
      </c>
      <c r="K7" s="23" t="n">
        <f aca="false">COUNTIFS(DATA!$B:$B,"Infrastructure Test",DATA!$J:$J,"Resolved")</f>
        <v>0</v>
      </c>
    </row>
    <row r="8" customFormat="false" ht="15" hidden="false" customHeight="true" outlineLevel="0" collapsed="false">
      <c r="E8" s="23" t="s">
        <v>92</v>
      </c>
      <c r="F8" s="23" t="n">
        <f aca="false">COUNTIF(DATA!$I:$I,"Data Exposure")</f>
        <v>1</v>
      </c>
      <c r="G8" s="25" t="n">
        <f aca="false">IF(SUM($F$4:$F$11)=0,0,F8/SUM($F$4:$F$11))</f>
        <v>0.142857142857143</v>
      </c>
    </row>
    <row r="9" customFormat="false" ht="15" hidden="false" customHeight="true" outlineLevel="0" collapsed="false">
      <c r="E9" s="23" t="s">
        <v>75</v>
      </c>
      <c r="F9" s="23" t="n">
        <f aca="false">COUNTIF(DATA!$I:$I,"Configuration")</f>
        <v>0</v>
      </c>
      <c r="G9" s="25" t="n">
        <f aca="false">IF(SUM($F$4:$F$11)=0,0,F9/SUM($F$4:$F$11))</f>
        <v>0</v>
      </c>
    </row>
    <row r="10" customFormat="false" ht="15" hidden="false" customHeight="true" outlineLevel="0" collapsed="false">
      <c r="E10" s="23" t="s">
        <v>81</v>
      </c>
      <c r="F10" s="23" t="n">
        <f aca="false">COUNTIF(DATA!$I:$I,"Credentials")</f>
        <v>1</v>
      </c>
      <c r="G10" s="25" t="n">
        <f aca="false">IF(SUM($F$4:$F$11)=0,0,F10/SUM($F$4:$F$11))</f>
        <v>0.142857142857143</v>
      </c>
    </row>
    <row r="11" customFormat="false" ht="15" hidden="false" customHeight="true" outlineLevel="0" collapsed="false">
      <c r="E11" s="23" t="s">
        <v>88</v>
      </c>
      <c r="F11" s="23" t="n">
        <f aca="false">COUNTIF(DATA!$I:$I,"CSRF")</f>
        <v>1</v>
      </c>
      <c r="G11" s="25" t="n">
        <f aca="false">IF(SUM($F$4:$F$11)=0,0,F11/SUM($F$4:$F$11))</f>
        <v>0.142857142857143</v>
      </c>
    </row>
    <row r="13" customFormat="false" ht="15" hidden="false" customHeight="true" outlineLevel="0" collapsed="false">
      <c r="A13" s="20" t="s">
        <v>97</v>
      </c>
      <c r="B13" s="20"/>
      <c r="C13" s="20"/>
      <c r="E13" s="20" t="s">
        <v>98</v>
      </c>
      <c r="F13" s="20"/>
    </row>
    <row r="14" customFormat="false" ht="15" hidden="false" customHeight="true" outlineLevel="0" collapsed="false">
      <c r="A14" s="41" t="s">
        <v>99</v>
      </c>
      <c r="B14" s="23" t="n">
        <f aca="false">COUNTA(DATA!$A$2:$A$100)</f>
        <v>8</v>
      </c>
      <c r="C14" s="42" t="s">
        <v>100</v>
      </c>
      <c r="E14" s="41" t="s">
        <v>101</v>
      </c>
      <c r="F14" s="23" t="n">
        <f aca="true">COUNTIFS(DATA!$N:$N,"&gt;="&amp;DATE(YEAR(TODAY()),MONTH(TODAY()),1))</f>
        <v>5</v>
      </c>
    </row>
    <row r="15" customFormat="false" ht="15" hidden="false" customHeight="true" outlineLevel="0" collapsed="false">
      <c r="A15" s="41" t="s">
        <v>102</v>
      </c>
      <c r="B15" s="23" t="n">
        <f aca="false">COUNTIF(DATA!$E:$E,"Critical")</f>
        <v>3</v>
      </c>
      <c r="C15" s="42" t="s">
        <v>103</v>
      </c>
      <c r="E15" s="41" t="s">
        <v>104</v>
      </c>
      <c r="F15" s="23" t="n">
        <f aca="true">COUNTIFS(DATA!$J:$J,"Resolved",DATA!$O:$O,"&gt;="&amp;DATE(YEAR(TODAY()),MONTH(TODAY()),1))</f>
        <v>0</v>
      </c>
    </row>
    <row r="16" customFormat="false" ht="15" hidden="false" customHeight="true" outlineLevel="0" collapsed="false">
      <c r="A16" s="41" t="s">
        <v>105</v>
      </c>
      <c r="B16" s="23" t="n">
        <f aca="false">AVERAGE(DATA!$H:$H)</f>
        <v>7.9</v>
      </c>
      <c r="C16" s="42" t="s">
        <v>100</v>
      </c>
      <c r="E16" s="41" t="s">
        <v>106</v>
      </c>
      <c r="F16" s="23" t="n">
        <f aca="false">COUNTIFS(DATA!$J:$J,"Active")</f>
        <v>5</v>
      </c>
    </row>
    <row r="17" customFormat="false" ht="15" hidden="false" customHeight="true" outlineLevel="0" collapsed="false">
      <c r="A17" s="41" t="s">
        <v>36</v>
      </c>
      <c r="B17" s="23" t="n">
        <f aca="false">COUNTIF(DATA!$J:$J,"Resolved")</f>
        <v>1</v>
      </c>
      <c r="C17" s="42" t="s">
        <v>103</v>
      </c>
      <c r="E17" s="41" t="s">
        <v>107</v>
      </c>
      <c r="F17" s="25" t="n">
        <f aca="false">IF(F14=0,0,F15/F14)</f>
        <v>0</v>
      </c>
    </row>
    <row r="18" customFormat="false" ht="15" hidden="false" customHeight="true" outlineLevel="0" collapsed="false">
      <c r="A18" s="41" t="s">
        <v>26</v>
      </c>
      <c r="B18" s="23" t="n">
        <f aca="false">COUNTIF(DATA!$J:$J,"Active")</f>
        <v>5</v>
      </c>
      <c r="C18" s="42" t="s">
        <v>100</v>
      </c>
    </row>
    <row r="19" customFormat="false" ht="15" hidden="false" customHeight="true" outlineLevel="0" collapsed="false">
      <c r="A19" s="41" t="s">
        <v>108</v>
      </c>
      <c r="B19" s="25" t="n">
        <f aca="false">IF(COUNTA(DATA!$A$2:$A$100)=0,0,COUNTIF(DATA!$J:$J,"Resolved")/COUNTA(DATA!$A$2:$A$100))</f>
        <v>0.125</v>
      </c>
      <c r="C19" s="42" t="s">
        <v>103</v>
      </c>
    </row>
    <row r="20" customFormat="false" ht="15" hidden="false" customHeight="true" outlineLevel="0" collapsed="false">
      <c r="A20" s="41" t="s">
        <v>109</v>
      </c>
      <c r="B20" s="43" t="n">
        <f aca="false">AVERAGE(DATA!$M:$M)</f>
        <v>10.875</v>
      </c>
      <c r="C20" s="42" t="s">
        <v>100</v>
      </c>
    </row>
    <row r="21" customFormat="false" ht="15" hidden="false" customHeight="true" outlineLevel="0" collapsed="false">
      <c r="A21" s="41" t="s">
        <v>110</v>
      </c>
      <c r="B21" s="25" t="n">
        <f aca="false">IF(COUNTA(DATA!$L$2:$L$100)=0,0,COUNTIF(DATA!$L:$L,"On Track")/COUNTA(DATA!$L$2:$L$100))</f>
        <v>0.75</v>
      </c>
      <c r="C21" s="42" t="s">
        <v>103</v>
      </c>
    </row>
    <row r="25" customFormat="false" ht="15" hidden="false" customHeight="true" outlineLevel="0" collapsed="false">
      <c r="A25" s="20" t="s">
        <v>111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9.5" hidden="false" customHeight="true" outlineLevel="0" collapsed="false">
      <c r="A26" s="44" t="s">
        <v>45</v>
      </c>
      <c r="B26" s="44" t="s">
        <v>112</v>
      </c>
      <c r="C26" s="44" t="s">
        <v>47</v>
      </c>
      <c r="D26" s="44" t="s">
        <v>48</v>
      </c>
      <c r="E26" s="44" t="s">
        <v>52</v>
      </c>
      <c r="F26" s="44" t="s">
        <v>50</v>
      </c>
      <c r="G26" s="44" t="s">
        <v>113</v>
      </c>
      <c r="H26" s="44" t="s">
        <v>17</v>
      </c>
      <c r="I26" s="44" t="s">
        <v>114</v>
      </c>
      <c r="J26" s="44" t="s">
        <v>115</v>
      </c>
      <c r="K26" s="44" t="s">
        <v>24</v>
      </c>
      <c r="L26" s="44" t="s">
        <v>116</v>
      </c>
    </row>
    <row r="27" customFormat="false" ht="15" hidden="false" customHeight="true" outlineLevel="0" collapsed="false">
      <c r="A27" s="45" t="n">
        <f aca="false">IFERROR(INDEX(DATA!$A:$A,SMALL(IF((DATA!$E$2:$E$100="Critical")+(DATA!$E$2:$E$100="High"),ROW(DATA!$E$2:$E$100)),1)),"-")</f>
        <v>0</v>
      </c>
      <c r="B27" s="46" t="n">
        <f aca="false">IFERROR(INDEX(DATA!$B:$B,SMALL(IF((DATA!$E$2:$E$100="Critical")+(DATA!$E$2:$E$100="High"),ROW(DATA!$E$2:$E$100)),1)),"-")</f>
        <v>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customFormat="false" ht="15" hidden="false" customHeight="true" outlineLevel="0" collapsed="false">
      <c r="A28" s="45" t="str">
        <f aca="false">IFERROR(INDEX(DATA!$A:$A,SMALL(IF((DATA!$E$2:$E$100="Critical")+(DATA!$E$2:$E$100="High"),ROW(DATA!$E$2:$E$100)),2)),"-")</f>
        <v>-</v>
      </c>
      <c r="B28" s="46" t="str">
        <f aca="false">IFERROR(INDEX(DATA!$B:$B,SMALL(IF((DATA!$E$2:$E$100="Critical")+(DATA!$E$2:$E$100="High"),ROW(DATA!$E$2:$E$100)),2)),"-")</f>
        <v>-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customFormat="false" ht="15" hidden="false" customHeight="true" outlineLevel="0" collapsed="false">
      <c r="A29" s="45" t="str">
        <f aca="false">IFERROR(INDEX(DATA!$A:$A,SMALL(IF((DATA!$E$2:$E$100="Critical")+(DATA!$E$2:$E$100="High"),ROW(DATA!$E$2:$E$100)),3)),"-")</f>
        <v>-</v>
      </c>
      <c r="B29" s="46" t="str">
        <f aca="false">IFERROR(INDEX(DATA!$B:$B,SMALL(IF((DATA!$E$2:$E$100="Critical")+(DATA!$E$2:$E$100="High"),ROW(DATA!$E$2:$E$100)),3)),"-")</f>
        <v>-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customFormat="false" ht="15" hidden="false" customHeight="true" outlineLevel="0" collapsed="false">
      <c r="A30" s="45" t="str">
        <f aca="false">IFERROR(INDEX(DATA!$A:$A,SMALL(IF((DATA!$E$2:$E$100="Critical")+(DATA!$E$2:$E$100="High"),ROW(DATA!$E$2:$E$100)),4)),"-")</f>
        <v>-</v>
      </c>
      <c r="B30" s="46" t="str">
        <f aca="false">IFERROR(INDEX(DATA!$B:$B,SMALL(IF((DATA!$E$2:$E$100="Critical")+(DATA!$E$2:$E$100="High"),ROW(DATA!$E$2:$E$100)),4)),"-")</f>
        <v>-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customFormat="false" ht="15" hidden="false" customHeight="true" outlineLevel="0" collapsed="false">
      <c r="A31" s="45" t="str">
        <f aca="false">IFERROR(INDEX(DATA!$A:$A,SMALL(IF((DATA!$E$2:$E$100="Critical")+(DATA!$E$2:$E$100="High"),ROW(DATA!$E$2:$E$100)),5)),"-")</f>
        <v>-</v>
      </c>
      <c r="B31" s="46" t="str">
        <f aca="false">IFERROR(INDEX(DATA!$B:$B,SMALL(IF((DATA!$E$2:$E$100="Critical")+(DATA!$E$2:$E$100="High"),ROW(DATA!$E$2:$E$100)),5)),"-")</f>
        <v>-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</row>
  </sheetData>
  <mergeCells count="7">
    <mergeCell ref="A1:L1"/>
    <mergeCell ref="A3:C3"/>
    <mergeCell ref="E3:G3"/>
    <mergeCell ref="I3:K3"/>
    <mergeCell ref="A13:C13"/>
    <mergeCell ref="E13:F13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7"/>
  </cols>
  <sheetData>
    <row r="1" customFormat="false" ht="30" hidden="false" customHeight="true" outlineLevel="0" collapsed="false">
      <c r="A1" s="37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3" customFormat="false" ht="15" hidden="false" customHeight="true" outlineLevel="0" collapsed="false">
      <c r="A3" s="38" t="s">
        <v>118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customFormat="false" ht="24.75" hidden="false" customHeight="true" outlineLevel="0" collapsed="false">
      <c r="A4" s="47" t="s">
        <v>119</v>
      </c>
      <c r="B4" s="47" t="s">
        <v>46</v>
      </c>
      <c r="C4" s="47" t="s">
        <v>120</v>
      </c>
      <c r="D4" s="47" t="s">
        <v>121</v>
      </c>
      <c r="E4" s="47" t="s">
        <v>122</v>
      </c>
      <c r="F4" s="47" t="s">
        <v>123</v>
      </c>
      <c r="G4" s="47" t="s">
        <v>124</v>
      </c>
      <c r="H4" s="47" t="s">
        <v>17</v>
      </c>
      <c r="I4" s="47" t="s">
        <v>27</v>
      </c>
      <c r="J4" s="47" t="s">
        <v>32</v>
      </c>
      <c r="K4" s="47" t="s">
        <v>37</v>
      </c>
      <c r="L4" s="47" t="s">
        <v>125</v>
      </c>
    </row>
    <row r="5" customFormat="false" ht="15" hidden="false" customHeight="true" outlineLevel="0" collapsed="false">
      <c r="A5" s="22" t="s">
        <v>126</v>
      </c>
      <c r="B5" s="22" t="s">
        <v>127</v>
      </c>
      <c r="C5" s="23" t="s">
        <v>25</v>
      </c>
      <c r="D5" s="23" t="s">
        <v>128</v>
      </c>
      <c r="E5" s="23" t="s">
        <v>62</v>
      </c>
      <c r="F5" s="48" t="n">
        <v>45970.7851046296</v>
      </c>
      <c r="G5" s="48" t="n">
        <v>45984.7851046296</v>
      </c>
      <c r="H5" s="24" t="s">
        <v>26</v>
      </c>
      <c r="I5" s="23" t="n">
        <v>1</v>
      </c>
      <c r="J5" s="23" t="n">
        <v>3</v>
      </c>
      <c r="K5" s="23" t="n">
        <v>5</v>
      </c>
      <c r="L5" s="49" t="n">
        <v>0.65</v>
      </c>
    </row>
    <row r="6" customFormat="false" ht="15" hidden="false" customHeight="true" outlineLevel="0" collapsed="false">
      <c r="A6" s="22" t="s">
        <v>129</v>
      </c>
      <c r="B6" s="22" t="s">
        <v>130</v>
      </c>
      <c r="C6" s="23" t="s">
        <v>30</v>
      </c>
      <c r="D6" s="23" t="s">
        <v>131</v>
      </c>
      <c r="E6" s="23" t="s">
        <v>71</v>
      </c>
      <c r="F6" s="48" t="n">
        <v>45973.7851046296</v>
      </c>
      <c r="G6" s="48" t="n">
        <v>45987.7851046296</v>
      </c>
      <c r="H6" s="24" t="s">
        <v>26</v>
      </c>
      <c r="I6" s="23" t="n">
        <v>2</v>
      </c>
      <c r="J6" s="23" t="n">
        <v>2</v>
      </c>
      <c r="K6" s="23" t="n">
        <v>4</v>
      </c>
      <c r="L6" s="49" t="n">
        <v>0.35</v>
      </c>
    </row>
    <row r="7" customFormat="false" ht="15" hidden="false" customHeight="true" outlineLevel="0" collapsed="false">
      <c r="A7" s="22" t="s">
        <v>132</v>
      </c>
      <c r="B7" s="22" t="s">
        <v>133</v>
      </c>
      <c r="C7" s="23" t="s">
        <v>35</v>
      </c>
      <c r="D7" s="23" t="s">
        <v>134</v>
      </c>
      <c r="E7" s="23" t="s">
        <v>80</v>
      </c>
      <c r="F7" s="48" t="n">
        <v>45965.7851046296</v>
      </c>
      <c r="G7" s="48" t="n">
        <v>45977.7851046296</v>
      </c>
      <c r="H7" s="26" t="s">
        <v>135</v>
      </c>
      <c r="I7" s="23" t="n">
        <v>0</v>
      </c>
      <c r="J7" s="23" t="n">
        <v>2</v>
      </c>
      <c r="K7" s="23" t="n">
        <v>3</v>
      </c>
      <c r="L7" s="50" t="n">
        <v>0.85</v>
      </c>
    </row>
  </sheetData>
  <mergeCells count="2">
    <mergeCell ref="A1:L1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51" t="s">
        <v>136</v>
      </c>
      <c r="B1" s="51"/>
      <c r="C1" s="51"/>
      <c r="D1" s="51"/>
    </row>
    <row r="3" customFormat="false" ht="15" hidden="false" customHeight="true" outlineLevel="0" collapsed="false">
      <c r="A3" s="38" t="s">
        <v>137</v>
      </c>
      <c r="B3" s="38"/>
      <c r="C3" s="38"/>
      <c r="D3" s="38"/>
    </row>
    <row r="4" customFormat="false" ht="68.25" hidden="false" customHeight="true" outlineLevel="0" collapsed="false">
      <c r="A4" s="52" t="s">
        <v>26</v>
      </c>
      <c r="B4" s="53" t="s">
        <v>138</v>
      </c>
    </row>
    <row r="5" customFormat="false" ht="41.25" hidden="false" customHeight="true" outlineLevel="0" collapsed="false">
      <c r="A5" s="54" t="s">
        <v>31</v>
      </c>
      <c r="B5" s="53" t="s">
        <v>139</v>
      </c>
    </row>
    <row r="6" customFormat="false" ht="27.75" hidden="false" customHeight="true" outlineLevel="0" collapsed="false">
      <c r="A6" s="55" t="s">
        <v>36</v>
      </c>
      <c r="B6" s="53" t="s">
        <v>140</v>
      </c>
    </row>
    <row r="7" customFormat="false" ht="41.25" hidden="false" customHeight="true" outlineLevel="0" collapsed="false">
      <c r="A7" s="56" t="s">
        <v>41</v>
      </c>
      <c r="B7" s="53" t="s">
        <v>141</v>
      </c>
    </row>
    <row r="9" customFormat="false" ht="15" hidden="false" customHeight="true" outlineLevel="0" collapsed="false">
      <c r="A9" s="38" t="s">
        <v>142</v>
      </c>
      <c r="B9" s="38"/>
      <c r="C9" s="38"/>
      <c r="D9" s="38"/>
    </row>
    <row r="10" customFormat="false" ht="15" hidden="false" customHeight="true" outlineLevel="0" collapsed="false">
      <c r="A10" s="24" t="s">
        <v>27</v>
      </c>
      <c r="B10" s="23" t="s">
        <v>143</v>
      </c>
      <c r="C10" s="23" t="s">
        <v>144</v>
      </c>
    </row>
    <row r="11" customFormat="false" ht="15" hidden="false" customHeight="true" outlineLevel="0" collapsed="false">
      <c r="A11" s="26" t="s">
        <v>32</v>
      </c>
      <c r="B11" s="23" t="s">
        <v>145</v>
      </c>
      <c r="C11" s="23" t="s">
        <v>146</v>
      </c>
    </row>
    <row r="12" customFormat="false" ht="15" hidden="false" customHeight="true" outlineLevel="0" collapsed="false">
      <c r="A12" s="39" t="s">
        <v>37</v>
      </c>
      <c r="B12" s="23" t="s">
        <v>147</v>
      </c>
      <c r="C12" s="23" t="s">
        <v>148</v>
      </c>
    </row>
    <row r="13" customFormat="false" ht="15" hidden="false" customHeight="true" outlineLevel="0" collapsed="false">
      <c r="A13" s="40" t="s">
        <v>42</v>
      </c>
      <c r="B13" s="23" t="s">
        <v>149</v>
      </c>
      <c r="C13" s="23" t="s">
        <v>150</v>
      </c>
    </row>
  </sheetData>
  <mergeCells count="3">
    <mergeCell ref="A1:D1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24.75" hidden="false" customHeight="true" outlineLevel="0" collapsed="false">
      <c r="A1" s="57" t="s">
        <v>151</v>
      </c>
      <c r="B1" s="57"/>
      <c r="C1" s="57"/>
      <c r="D1" s="57"/>
      <c r="E1" s="57"/>
      <c r="F1" s="57"/>
      <c r="G1" s="57"/>
      <c r="H1" s="57"/>
      <c r="I1" s="57"/>
      <c r="J1" s="57"/>
    </row>
    <row r="3" customFormat="false" ht="15" hidden="false" customHeight="false" outlineLevel="0" collapsed="false">
      <c r="A3" s="58" t="s">
        <v>152</v>
      </c>
      <c r="B3" s="58"/>
      <c r="C3" s="58"/>
      <c r="D3" s="58"/>
      <c r="F3" s="58" t="s">
        <v>153</v>
      </c>
      <c r="G3" s="58"/>
      <c r="H3" s="58"/>
      <c r="I3" s="58"/>
      <c r="J3" s="58"/>
    </row>
    <row r="4" customFormat="false" ht="15" hidden="false" customHeight="false" outlineLevel="0" collapsed="false">
      <c r="A4" s="59" t="s">
        <v>154</v>
      </c>
      <c r="B4" s="23" t="s">
        <v>155</v>
      </c>
      <c r="C4" s="23" t="s">
        <v>156</v>
      </c>
      <c r="D4" s="23" t="n">
        <v>0</v>
      </c>
      <c r="F4" s="60" t="s">
        <v>157</v>
      </c>
      <c r="G4" s="59" t="s">
        <v>158</v>
      </c>
      <c r="H4" s="59"/>
      <c r="I4" s="59"/>
      <c r="J4" s="59"/>
    </row>
    <row r="5" customFormat="false" ht="15" hidden="false" customHeight="false" outlineLevel="0" collapsed="false">
      <c r="A5" s="59" t="s">
        <v>159</v>
      </c>
      <c r="B5" s="23" t="s">
        <v>155</v>
      </c>
      <c r="C5" s="23" t="s">
        <v>156</v>
      </c>
      <c r="D5" s="23" t="n">
        <v>0</v>
      </c>
      <c r="F5" s="60" t="s">
        <v>160</v>
      </c>
      <c r="G5" s="59" t="s">
        <v>158</v>
      </c>
      <c r="H5" s="59"/>
      <c r="I5" s="59"/>
      <c r="J5" s="59"/>
    </row>
    <row r="6" customFormat="false" ht="15" hidden="false" customHeight="false" outlineLevel="0" collapsed="false">
      <c r="A6" s="59" t="s">
        <v>161</v>
      </c>
      <c r="B6" s="23" t="s">
        <v>155</v>
      </c>
      <c r="C6" s="23" t="s">
        <v>156</v>
      </c>
      <c r="D6" s="23" t="n">
        <v>0</v>
      </c>
      <c r="F6" s="60" t="s">
        <v>162</v>
      </c>
      <c r="G6" s="59" t="s">
        <v>163</v>
      </c>
      <c r="H6" s="59"/>
      <c r="I6" s="59"/>
      <c r="J6" s="59"/>
    </row>
    <row r="7" customFormat="false" ht="15" hidden="false" customHeight="false" outlineLevel="0" collapsed="false">
      <c r="A7" s="59" t="s">
        <v>164</v>
      </c>
      <c r="B7" s="23" t="s">
        <v>155</v>
      </c>
      <c r="C7" s="23" t="s">
        <v>156</v>
      </c>
      <c r="D7" s="23" t="n">
        <v>0</v>
      </c>
      <c r="F7" s="60" t="s">
        <v>165</v>
      </c>
      <c r="G7" s="59" t="s">
        <v>163</v>
      </c>
      <c r="H7" s="59"/>
      <c r="I7" s="59"/>
      <c r="J7" s="59"/>
    </row>
    <row r="8" customFormat="false" ht="15" hidden="false" customHeight="false" outlineLevel="0" collapsed="false">
      <c r="A8" s="59" t="s">
        <v>166</v>
      </c>
      <c r="B8" s="23" t="s">
        <v>155</v>
      </c>
      <c r="C8" s="23" t="s">
        <v>156</v>
      </c>
      <c r="D8" s="23" t="n">
        <v>0</v>
      </c>
      <c r="F8" s="60" t="s">
        <v>167</v>
      </c>
      <c r="G8" s="59" t="s">
        <v>163</v>
      </c>
      <c r="H8" s="59"/>
      <c r="I8" s="59"/>
      <c r="J8" s="59"/>
    </row>
    <row r="9" customFormat="false" ht="15" hidden="false" customHeight="false" outlineLevel="0" collapsed="false">
      <c r="A9" s="59" t="s">
        <v>168</v>
      </c>
      <c r="B9" s="23" t="s">
        <v>155</v>
      </c>
      <c r="C9" s="23" t="s">
        <v>156</v>
      </c>
      <c r="D9" s="23" t="n">
        <v>0</v>
      </c>
    </row>
    <row r="10" customFormat="false" ht="15" hidden="false" customHeight="false" outlineLevel="0" collapsed="false">
      <c r="A10" s="59" t="s">
        <v>169</v>
      </c>
      <c r="B10" s="23" t="s">
        <v>155</v>
      </c>
      <c r="C10" s="23" t="s">
        <v>156</v>
      </c>
      <c r="D10" s="23" t="n">
        <v>0</v>
      </c>
    </row>
    <row r="11" customFormat="false" ht="15" hidden="false" customHeight="false" outlineLevel="0" collapsed="false">
      <c r="A11" s="59" t="s">
        <v>170</v>
      </c>
      <c r="B11" s="23" t="s">
        <v>155</v>
      </c>
      <c r="C11" s="23" t="s">
        <v>156</v>
      </c>
      <c r="D11" s="23" t="n">
        <v>0</v>
      </c>
    </row>
    <row r="12" customFormat="false" ht="15" hidden="false" customHeight="false" outlineLevel="0" collapsed="false">
      <c r="A12" s="59" t="s">
        <v>171</v>
      </c>
      <c r="B12" s="23" t="s">
        <v>155</v>
      </c>
      <c r="C12" s="23" t="s">
        <v>156</v>
      </c>
      <c r="D12" s="23" t="n">
        <v>0</v>
      </c>
    </row>
    <row r="13" customFormat="false" ht="15" hidden="false" customHeight="false" outlineLevel="0" collapsed="false">
      <c r="A13" s="59" t="s">
        <v>172</v>
      </c>
      <c r="B13" s="23" t="s">
        <v>155</v>
      </c>
      <c r="C13" s="23" t="s">
        <v>156</v>
      </c>
      <c r="D13" s="23" t="n">
        <v>0</v>
      </c>
    </row>
  </sheetData>
  <mergeCells count="3">
    <mergeCell ref="A1:J1"/>
    <mergeCell ref="A3:D3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7.35" hidden="false" customHeight="false" outlineLevel="0" collapsed="false">
      <c r="A1" s="57" t="s">
        <v>173</v>
      </c>
      <c r="B1" s="57"/>
      <c r="C1" s="57"/>
      <c r="D1" s="57"/>
      <c r="E1" s="57"/>
      <c r="F1" s="57"/>
      <c r="G1" s="57"/>
      <c r="H1" s="57"/>
    </row>
    <row r="3" customFormat="false" ht="15" hidden="false" customHeight="false" outlineLevel="0" collapsed="false">
      <c r="A3" s="61" t="s">
        <v>174</v>
      </c>
    </row>
    <row r="4" customFormat="false" ht="15" hidden="false" customHeight="false" outlineLevel="0" collapsed="false">
      <c r="A4" s="60" t="s">
        <v>99</v>
      </c>
      <c r="B4" s="53" t="s">
        <v>175</v>
      </c>
    </row>
    <row r="5" customFormat="false" ht="28.35" hidden="false" customHeight="false" outlineLevel="0" collapsed="false">
      <c r="A5" s="60" t="s">
        <v>102</v>
      </c>
      <c r="B5" s="53" t="s">
        <v>176</v>
      </c>
    </row>
    <row r="6" customFormat="false" ht="15" hidden="false" customHeight="false" outlineLevel="0" collapsed="false">
      <c r="A6" s="60" t="s">
        <v>177</v>
      </c>
      <c r="B6" s="53" t="s">
        <v>178</v>
      </c>
    </row>
    <row r="7" customFormat="false" ht="15" hidden="false" customHeight="false" outlineLevel="0" collapsed="false">
      <c r="A7" s="60" t="s">
        <v>28</v>
      </c>
      <c r="B7" s="53" t="s">
        <v>179</v>
      </c>
    </row>
    <row r="8" customFormat="false" ht="15" hidden="false" customHeight="false" outlineLevel="0" collapsed="false">
      <c r="A8" s="60" t="s">
        <v>180</v>
      </c>
      <c r="B8" s="53" t="s">
        <v>181</v>
      </c>
    </row>
    <row r="9" customFormat="false" ht="15" hidden="false" customHeight="false" outlineLevel="0" collapsed="false">
      <c r="A9" s="60" t="s">
        <v>43</v>
      </c>
      <c r="B9" s="53" t="s">
        <v>182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57" t="s">
        <v>183</v>
      </c>
      <c r="B1" s="57"/>
      <c r="C1" s="57"/>
      <c r="D1" s="57"/>
    </row>
    <row r="3" customFormat="false" ht="15" hidden="false" customHeight="false" outlineLevel="0" collapsed="false">
      <c r="A3" s="61" t="s">
        <v>184</v>
      </c>
    </row>
    <row r="4" customFormat="false" ht="41.75" hidden="false" customHeight="false" outlineLevel="0" collapsed="false">
      <c r="A4" s="62" t="s">
        <v>185</v>
      </c>
      <c r="B4" s="53" t="s">
        <v>186</v>
      </c>
    </row>
    <row r="5" customFormat="false" ht="41.75" hidden="false" customHeight="false" outlineLevel="0" collapsed="false">
      <c r="A5" s="62" t="s">
        <v>187</v>
      </c>
      <c r="B5" s="53" t="s">
        <v>188</v>
      </c>
    </row>
    <row r="6" customFormat="false" ht="41.75" hidden="false" customHeight="false" outlineLevel="0" collapsed="false">
      <c r="A6" s="62" t="s">
        <v>189</v>
      </c>
      <c r="B6" s="53" t="s">
        <v>190</v>
      </c>
    </row>
    <row r="7" customFormat="false" ht="28.35" hidden="false" customHeight="false" outlineLevel="0" collapsed="false">
      <c r="A7" s="62" t="s">
        <v>191</v>
      </c>
      <c r="B7" s="53" t="s">
        <v>192</v>
      </c>
    </row>
    <row r="8" customFormat="false" ht="28.35" hidden="false" customHeight="false" outlineLevel="0" collapsed="false">
      <c r="A8" s="62" t="s">
        <v>193</v>
      </c>
      <c r="B8" s="53" t="s">
        <v>194</v>
      </c>
    </row>
    <row r="9" customFormat="false" ht="28.35" hidden="false" customHeight="false" outlineLevel="0" collapsed="false">
      <c r="A9" s="62" t="s">
        <v>195</v>
      </c>
      <c r="B9" s="53" t="s">
        <v>196</v>
      </c>
    </row>
    <row r="11" customFormat="false" ht="15" hidden="false" customHeight="false" outlineLevel="0" collapsed="false">
      <c r="A11" s="63" t="s">
        <v>197</v>
      </c>
    </row>
    <row r="12" customFormat="false" ht="15" hidden="false" customHeight="false" outlineLevel="0" collapsed="false">
      <c r="A12" s="60" t="s">
        <v>102</v>
      </c>
      <c r="B12" s="53" t="e">
        <f aca="false">COUNTIFS(severity="Critical", status="Active")</f>
        <v>#NAME?</v>
      </c>
    </row>
    <row r="13" customFormat="false" ht="15" hidden="false" customHeight="false" outlineLevel="0" collapsed="false">
      <c r="A13" s="60" t="s">
        <v>108</v>
      </c>
      <c r="B13" s="53" t="e">
        <f aca="false">resolved / total * 100%</f>
        <v>#NAME?</v>
      </c>
    </row>
    <row r="14" customFormat="false" ht="28.35" hidden="false" customHeight="false" outlineLevel="0" collapsed="false">
      <c r="A14" s="60" t="s">
        <v>54</v>
      </c>
      <c r="B14" s="53" t="s">
        <v>198</v>
      </c>
    </row>
    <row r="15" customFormat="false" ht="15" hidden="false" customHeight="false" outlineLevel="0" collapsed="false">
      <c r="A15" s="60" t="s">
        <v>28</v>
      </c>
      <c r="B15" s="53" t="e">
        <f aca="false">AVERAGE(all cvss scores)</f>
        <v>#VALUE!</v>
      </c>
    </row>
    <row r="16" customFormat="false" ht="15" hidden="false" customHeight="false" outlineLevel="0" collapsed="false">
      <c r="A16" s="60" t="s">
        <v>199</v>
      </c>
      <c r="B16" s="53" t="e">
        <f aca="false">count vulnerabilities found this month</f>
        <v>#VALUE!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2025-11-14T18:50:33Z</dcterms:created>
  <dc:creator>openpyxl</dc:creator>
  <dc:description/>
  <dc:language>en-US</dc:language>
  <cp:lastModifiedBy/>
  <dcterms:modified xsi:type="dcterms:W3CDTF">2025-11-14T18:51:51Z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